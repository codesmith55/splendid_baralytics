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\Documents\0_game files\BAR\"/>
    </mc:Choice>
  </mc:AlternateContent>
  <xr:revisionPtr revIDLastSave="0" documentId="13_ncr:1_{BB18DE8C-82BA-4E58-90D2-CCA12B8C7830}" xr6:coauthVersionLast="47" xr6:coauthVersionMax="47" xr10:uidLastSave="{00000000-0000-0000-0000-000000000000}"/>
  <bookViews>
    <workbookView xWindow="-120" yWindow="-120" windowWidth="38640" windowHeight="21240" xr2:uid="{E145213E-D545-415C-BCC6-500B6FDD1507}"/>
  </bookViews>
  <sheets>
    <sheet name="Sheet2" sheetId="3" r:id="rId1"/>
    <sheet name="unitlist" sheetId="2" r:id="rId2"/>
    <sheet name="helper" sheetId="1" r:id="rId3"/>
    <sheet name="test" sheetId="4" r:id="rId4"/>
  </sheets>
  <definedNames>
    <definedName name="buildPowerCost">Sheet2!$F$9</definedName>
    <definedName name="buildPowerCostPerItem">Sheet2!$F$8</definedName>
    <definedName name="buildPowerPerItem">Sheet2!$E$31</definedName>
    <definedName name="energyCost">Sheet2!$E$9</definedName>
    <definedName name="ExternalData_1" localSheetId="3" hidden="1">test!$A$1:$AM$382</definedName>
    <definedName name="ExternalData_1" localSheetId="1" hidden="1">unitlist!$A$1:$AL$382</definedName>
    <definedName name="givenEnergyPerSec">Sheet2!$D$12</definedName>
    <definedName name="givenMetal">Sheet2!$C$17</definedName>
    <definedName name="givenMetalPerSec">Sheet2!$C$12</definedName>
    <definedName name="metalCost">Sheet2!$D$9</definedName>
    <definedName name="names">helper!$B$2:$B$335</definedName>
    <definedName name="quantity">Sheet2!$G$8</definedName>
    <definedName name="totalBuildPower">Sheet2!$E$30</definedName>
    <definedName name="unitlist">Table1[]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K26" i="3"/>
  <c r="T21" i="3"/>
  <c r="T20" i="3"/>
  <c r="T18" i="3"/>
  <c r="T17" i="3"/>
  <c r="D9" i="3"/>
  <c r="E9" i="3"/>
  <c r="F9" i="3"/>
  <c r="F8" i="3"/>
  <c r="E8" i="3"/>
  <c r="D8" i="3"/>
  <c r="Q383" i="2" l="1"/>
  <c r="Q104" i="4"/>
  <c r="Q208" i="4"/>
  <c r="Q101" i="4"/>
  <c r="Q209" i="4"/>
  <c r="Q210" i="4"/>
  <c r="Q211" i="4"/>
  <c r="Q212" i="4"/>
  <c r="Q213" i="4"/>
  <c r="Q214" i="4"/>
  <c r="Q215" i="4"/>
  <c r="Q116" i="4"/>
  <c r="Q216" i="4"/>
  <c r="Q178" i="4"/>
  <c r="Q82" i="4"/>
  <c r="Q217" i="4"/>
  <c r="Q66" i="4"/>
  <c r="Q218" i="4"/>
  <c r="Q152" i="4"/>
  <c r="Q132" i="4"/>
  <c r="Q76" i="4"/>
  <c r="Q219" i="4"/>
  <c r="Q220" i="4"/>
  <c r="Q133" i="4"/>
  <c r="Q221" i="4"/>
  <c r="Q222" i="4"/>
  <c r="Q223" i="4"/>
  <c r="Q224" i="4"/>
  <c r="Q122" i="4"/>
  <c r="Q225" i="4"/>
  <c r="Q226" i="4"/>
  <c r="Q227" i="4"/>
  <c r="Q188" i="4"/>
  <c r="Q169" i="4"/>
  <c r="Q28" i="4"/>
  <c r="Q228" i="4"/>
  <c r="Q181" i="4"/>
  <c r="Q126" i="4"/>
  <c r="Q202" i="4"/>
  <c r="Q153" i="4"/>
  <c r="Q229" i="4"/>
  <c r="Q230" i="4"/>
  <c r="Q40" i="4"/>
  <c r="Q231" i="4"/>
  <c r="Q232" i="4"/>
  <c r="Q95" i="4"/>
  <c r="Q10" i="4"/>
  <c r="Q233" i="4"/>
  <c r="Q157" i="4"/>
  <c r="Q88" i="4"/>
  <c r="Q234" i="4"/>
  <c r="Q235" i="4"/>
  <c r="Q236" i="4"/>
  <c r="Q47" i="4"/>
  <c r="Q114" i="4"/>
  <c r="Q237" i="4"/>
  <c r="Q238" i="4"/>
  <c r="Q55" i="4"/>
  <c r="Q239" i="4"/>
  <c r="Q240" i="4"/>
  <c r="Q192" i="4"/>
  <c r="Q241" i="4"/>
  <c r="Q242" i="4"/>
  <c r="Q243" i="4"/>
  <c r="Q244" i="4"/>
  <c r="Q54" i="4"/>
  <c r="Q245" i="4"/>
  <c r="Q30" i="4"/>
  <c r="Q196" i="4"/>
  <c r="Q246" i="4"/>
  <c r="Q86" i="4"/>
  <c r="Q71" i="4"/>
  <c r="Q84" i="4"/>
  <c r="Q247" i="4"/>
  <c r="Q91" i="4"/>
  <c r="Q21" i="4"/>
  <c r="Q68" i="4"/>
  <c r="Q43" i="4"/>
  <c r="Q19" i="4"/>
  <c r="Q4" i="4"/>
  <c r="Q248" i="4"/>
  <c r="Q249" i="4"/>
  <c r="Q250" i="4"/>
  <c r="Q35" i="4"/>
  <c r="Q251" i="4"/>
  <c r="Q206" i="4"/>
  <c r="Q252" i="4"/>
  <c r="Q253" i="4"/>
  <c r="Q113" i="4"/>
  <c r="Q172" i="4"/>
  <c r="Q96" i="4"/>
  <c r="Q14" i="4"/>
  <c r="Q87" i="4"/>
  <c r="Q254" i="4"/>
  <c r="Q255" i="4"/>
  <c r="Q256" i="4"/>
  <c r="Q257" i="4"/>
  <c r="Q120" i="4"/>
  <c r="Q99" i="4"/>
  <c r="Q204" i="4"/>
  <c r="Q146" i="4"/>
  <c r="Q74" i="4"/>
  <c r="Q258" i="4"/>
  <c r="Q93" i="4"/>
  <c r="Q56" i="4"/>
  <c r="Q143" i="4"/>
  <c r="Q23" i="4"/>
  <c r="Q70" i="4"/>
  <c r="Q147" i="4"/>
  <c r="Q259" i="4"/>
  <c r="Q98" i="4"/>
  <c r="Q110" i="4"/>
  <c r="Q260" i="4"/>
  <c r="Q148" i="4"/>
  <c r="Q105" i="4"/>
  <c r="Q150" i="4"/>
  <c r="Q185" i="4"/>
  <c r="Q261" i="4"/>
  <c r="Q141" i="4"/>
  <c r="Q2" i="4"/>
  <c r="Q8" i="4"/>
  <c r="Q6" i="4"/>
  <c r="Q262" i="4"/>
  <c r="Q263" i="4"/>
  <c r="Q264" i="4"/>
  <c r="Q265" i="4"/>
  <c r="Q195" i="4"/>
  <c r="Q266" i="4"/>
  <c r="Q267" i="4"/>
  <c r="Q268" i="4"/>
  <c r="Q57" i="4"/>
  <c r="Q269" i="4"/>
  <c r="Q111" i="4"/>
  <c r="Q270" i="4"/>
  <c r="Q42" i="4"/>
  <c r="Q134" i="4"/>
  <c r="Q44" i="4"/>
  <c r="Q24" i="4"/>
  <c r="Q271" i="4"/>
  <c r="Q140" i="4"/>
  <c r="Q272" i="4"/>
  <c r="Q273" i="4"/>
  <c r="Q38" i="4"/>
  <c r="Q127" i="4"/>
  <c r="Q138" i="4"/>
  <c r="Q130" i="4"/>
  <c r="Q85" i="4"/>
  <c r="Q65" i="4"/>
  <c r="Q162" i="4"/>
  <c r="Q274" i="4"/>
  <c r="Q108" i="4"/>
  <c r="Q275" i="4"/>
  <c r="Q276" i="4"/>
  <c r="Q186" i="4"/>
  <c r="Q17" i="4"/>
  <c r="Q50" i="4"/>
  <c r="Q277" i="4"/>
  <c r="Q278" i="4"/>
  <c r="Q200" i="4"/>
  <c r="Q279" i="4"/>
  <c r="Q119" i="4"/>
  <c r="Q280" i="4"/>
  <c r="Q281" i="4"/>
  <c r="Q106" i="4"/>
  <c r="Q282" i="4"/>
  <c r="Q283" i="4"/>
  <c r="Q117" i="4"/>
  <c r="Q166" i="4"/>
  <c r="Q168" i="4"/>
  <c r="Q284" i="4"/>
  <c r="Q285" i="4"/>
  <c r="Q189" i="4"/>
  <c r="Q61" i="4"/>
  <c r="Q286" i="4"/>
  <c r="Q33" i="4"/>
  <c r="Q287" i="4"/>
  <c r="Q288" i="4"/>
  <c r="Q289" i="4"/>
  <c r="Q290" i="4"/>
  <c r="Q291" i="4"/>
  <c r="Q292" i="4"/>
  <c r="Q293" i="4"/>
  <c r="Q294" i="4"/>
  <c r="Q295" i="4"/>
  <c r="Q12" i="4"/>
  <c r="Q194" i="4"/>
  <c r="Q296" i="4"/>
  <c r="Q297" i="4"/>
  <c r="Q201" i="4"/>
  <c r="Q52" i="4"/>
  <c r="Q298" i="4"/>
  <c r="Q62" i="4"/>
  <c r="Q118" i="4"/>
  <c r="Q112" i="4"/>
  <c r="Q299" i="4"/>
  <c r="Q300" i="4"/>
  <c r="Q301" i="4"/>
  <c r="Q302" i="4"/>
  <c r="Q303" i="4"/>
  <c r="Q304" i="4"/>
  <c r="Q305" i="4"/>
  <c r="Q306" i="4"/>
  <c r="Q128" i="4"/>
  <c r="Q20" i="4"/>
  <c r="Q307" i="4"/>
  <c r="Q79" i="4"/>
  <c r="Q308" i="4"/>
  <c r="Q77" i="4"/>
  <c r="Q309" i="4"/>
  <c r="Q136" i="4"/>
  <c r="Q310" i="4"/>
  <c r="Q102" i="4"/>
  <c r="Q311" i="4"/>
  <c r="Q312" i="4"/>
  <c r="Q313" i="4"/>
  <c r="Q125" i="4"/>
  <c r="Q314" i="4"/>
  <c r="Q315" i="4"/>
  <c r="Q182" i="4"/>
  <c r="Q167" i="4"/>
  <c r="Q190" i="4"/>
  <c r="Q193" i="4"/>
  <c r="Q199" i="4"/>
  <c r="Q316" i="4"/>
  <c r="Q317" i="4"/>
  <c r="Q59" i="4"/>
  <c r="Q183" i="4"/>
  <c r="Q318" i="4"/>
  <c r="Q319" i="4"/>
  <c r="Q11" i="4"/>
  <c r="Q100" i="4"/>
  <c r="Q78" i="4"/>
  <c r="Q180" i="4"/>
  <c r="Q320" i="4"/>
  <c r="Q321" i="4"/>
  <c r="Q131" i="4"/>
  <c r="Q322" i="4"/>
  <c r="Q109" i="4"/>
  <c r="Q145" i="4"/>
  <c r="Q64" i="4"/>
  <c r="Q81" i="4"/>
  <c r="Q323" i="4"/>
  <c r="Q80" i="4"/>
  <c r="Q46" i="4"/>
  <c r="Q324" i="4"/>
  <c r="Q37" i="4"/>
  <c r="Q325" i="4"/>
  <c r="Q53" i="4"/>
  <c r="Q326" i="4"/>
  <c r="Q327" i="4"/>
  <c r="Q328" i="4"/>
  <c r="Q329" i="4"/>
  <c r="Q29" i="4"/>
  <c r="Q60" i="4"/>
  <c r="Q330" i="4"/>
  <c r="Q90" i="4"/>
  <c r="Q331" i="4"/>
  <c r="Q332" i="4"/>
  <c r="Q72" i="4"/>
  <c r="Q83" i="4"/>
  <c r="Q5" i="4"/>
  <c r="Q333" i="4"/>
  <c r="Q334" i="4"/>
  <c r="Q335" i="4"/>
  <c r="Q36" i="4"/>
  <c r="Q51" i="4"/>
  <c r="Q336" i="4"/>
  <c r="Q337" i="4"/>
  <c r="Q338" i="4"/>
  <c r="Q124" i="4"/>
  <c r="Q207" i="4"/>
  <c r="Q41" i="4"/>
  <c r="Q339" i="4"/>
  <c r="Q170" i="4"/>
  <c r="Q75" i="4"/>
  <c r="Q27" i="4"/>
  <c r="Q97" i="4"/>
  <c r="Q340" i="4"/>
  <c r="Q173" i="4"/>
  <c r="Q341" i="4"/>
  <c r="Q48" i="4"/>
  <c r="Q342" i="4"/>
  <c r="Q203" i="4"/>
  <c r="Q343" i="4"/>
  <c r="Q197" i="4"/>
  <c r="Q205" i="4"/>
  <c r="Q129" i="4"/>
  <c r="Q179" i="4"/>
  <c r="Q344" i="4"/>
  <c r="Q89" i="4"/>
  <c r="Q25" i="4"/>
  <c r="Q164" i="4"/>
  <c r="Q63" i="4"/>
  <c r="Q345" i="4"/>
  <c r="Q174" i="4"/>
  <c r="Q163" i="4"/>
  <c r="Q32" i="4"/>
  <c r="Q346" i="4"/>
  <c r="Q151" i="4"/>
  <c r="Q135" i="4"/>
  <c r="Q3" i="4"/>
  <c r="Q9" i="4"/>
  <c r="Q7" i="4"/>
  <c r="Q92" i="4"/>
  <c r="Q347" i="4"/>
  <c r="Q348" i="4"/>
  <c r="Q349" i="4"/>
  <c r="Q350" i="4"/>
  <c r="Q176" i="4"/>
  <c r="Q191" i="4"/>
  <c r="Q351" i="4"/>
  <c r="Q352" i="4"/>
  <c r="Q353" i="4"/>
  <c r="Q354" i="4"/>
  <c r="Q355" i="4"/>
  <c r="Q165" i="4"/>
  <c r="Q356" i="4"/>
  <c r="Q142" i="4"/>
  <c r="Q107" i="4"/>
  <c r="Q171" i="4"/>
  <c r="Q31" i="4"/>
  <c r="Q357" i="4"/>
  <c r="Q123" i="4"/>
  <c r="Q158" i="4"/>
  <c r="Q358" i="4"/>
  <c r="Q39" i="4"/>
  <c r="Q13" i="4"/>
  <c r="Q144" i="4"/>
  <c r="Q94" i="4"/>
  <c r="Q49" i="4"/>
  <c r="Q154" i="4"/>
  <c r="Q359" i="4"/>
  <c r="Q360" i="4"/>
  <c r="Q137" i="4"/>
  <c r="Q67" i="4"/>
  <c r="Q18" i="4"/>
  <c r="Q45" i="4"/>
  <c r="Q58" i="4"/>
  <c r="Q161" i="4"/>
  <c r="Q149" i="4"/>
  <c r="Q361" i="4"/>
  <c r="Q198" i="4"/>
  <c r="Q362" i="4"/>
  <c r="Q16" i="4"/>
  <c r="Q159" i="4"/>
  <c r="Q139" i="4"/>
  <c r="Q363" i="4"/>
  <c r="Q364" i="4"/>
  <c r="Q365" i="4"/>
  <c r="Q187" i="4"/>
  <c r="Q115" i="4"/>
  <c r="Q156" i="4"/>
  <c r="Q160" i="4"/>
  <c r="Q366" i="4"/>
  <c r="Q367" i="4"/>
  <c r="Q73" i="4"/>
  <c r="Q103" i="4"/>
  <c r="Q368" i="4"/>
  <c r="Q121" i="4"/>
  <c r="Q34" i="4"/>
  <c r="Q177" i="4"/>
  <c r="Q175" i="4"/>
  <c r="Q26" i="4"/>
  <c r="Q369" i="4"/>
  <c r="Q370" i="4"/>
  <c r="Q371" i="4"/>
  <c r="Q372" i="4"/>
  <c r="Q373" i="4"/>
  <c r="Q374" i="4"/>
  <c r="Q375" i="4"/>
  <c r="Q376" i="4"/>
  <c r="Q377" i="4"/>
  <c r="Q378" i="4"/>
  <c r="Q15" i="4"/>
  <c r="Q22" i="4"/>
  <c r="Q69" i="4"/>
  <c r="Q379" i="4"/>
  <c r="Q380" i="4"/>
  <c r="Q381" i="4"/>
  <c r="Q184" i="4"/>
  <c r="Q382" i="4"/>
  <c r="Q155" i="4"/>
  <c r="R104" i="4"/>
  <c r="R208" i="4"/>
  <c r="R101" i="4"/>
  <c r="R209" i="4"/>
  <c r="R210" i="4"/>
  <c r="R211" i="4"/>
  <c r="R212" i="4"/>
  <c r="R213" i="4"/>
  <c r="R214" i="4"/>
  <c r="R215" i="4"/>
  <c r="R116" i="4"/>
  <c r="R216" i="4"/>
  <c r="R178" i="4"/>
  <c r="R82" i="4"/>
  <c r="R217" i="4"/>
  <c r="R66" i="4"/>
  <c r="R218" i="4"/>
  <c r="R152" i="4"/>
  <c r="R132" i="4"/>
  <c r="R76" i="4"/>
  <c r="R219" i="4"/>
  <c r="R220" i="4"/>
  <c r="R133" i="4"/>
  <c r="R221" i="4"/>
  <c r="R222" i="4"/>
  <c r="R223" i="4"/>
  <c r="R224" i="4"/>
  <c r="R122" i="4"/>
  <c r="R225" i="4"/>
  <c r="R226" i="4"/>
  <c r="R227" i="4"/>
  <c r="R188" i="4"/>
  <c r="R169" i="4"/>
  <c r="R28" i="4"/>
  <c r="R228" i="4"/>
  <c r="R181" i="4"/>
  <c r="R126" i="4"/>
  <c r="R202" i="4"/>
  <c r="R153" i="4"/>
  <c r="R229" i="4"/>
  <c r="R230" i="4"/>
  <c r="R40" i="4"/>
  <c r="R231" i="4"/>
  <c r="R232" i="4"/>
  <c r="R95" i="4"/>
  <c r="R10" i="4"/>
  <c r="R233" i="4"/>
  <c r="R157" i="4"/>
  <c r="R88" i="4"/>
  <c r="R234" i="4"/>
  <c r="R235" i="4"/>
  <c r="R236" i="4"/>
  <c r="R47" i="4"/>
  <c r="R114" i="4"/>
  <c r="R237" i="4"/>
  <c r="R238" i="4"/>
  <c r="R55" i="4"/>
  <c r="R239" i="4"/>
  <c r="R240" i="4"/>
  <c r="R192" i="4"/>
  <c r="R241" i="4"/>
  <c r="R242" i="4"/>
  <c r="R243" i="4"/>
  <c r="R244" i="4"/>
  <c r="R54" i="4"/>
  <c r="R245" i="4"/>
  <c r="R30" i="4"/>
  <c r="R196" i="4"/>
  <c r="R246" i="4"/>
  <c r="R86" i="4"/>
  <c r="R71" i="4"/>
  <c r="R84" i="4"/>
  <c r="R247" i="4"/>
  <c r="R91" i="4"/>
  <c r="R21" i="4"/>
  <c r="R68" i="4"/>
  <c r="R43" i="4"/>
  <c r="R19" i="4"/>
  <c r="R4" i="4"/>
  <c r="R248" i="4"/>
  <c r="R249" i="4"/>
  <c r="R250" i="4"/>
  <c r="R35" i="4"/>
  <c r="R251" i="4"/>
  <c r="R206" i="4"/>
  <c r="R252" i="4"/>
  <c r="R253" i="4"/>
  <c r="R113" i="4"/>
  <c r="R172" i="4"/>
  <c r="R96" i="4"/>
  <c r="R14" i="4"/>
  <c r="R87" i="4"/>
  <c r="R254" i="4"/>
  <c r="R255" i="4"/>
  <c r="R256" i="4"/>
  <c r="R257" i="4"/>
  <c r="R120" i="4"/>
  <c r="R99" i="4"/>
  <c r="R204" i="4"/>
  <c r="R146" i="4"/>
  <c r="R74" i="4"/>
  <c r="R258" i="4"/>
  <c r="R93" i="4"/>
  <c r="R56" i="4"/>
  <c r="R143" i="4"/>
  <c r="R23" i="4"/>
  <c r="R70" i="4"/>
  <c r="R147" i="4"/>
  <c r="R259" i="4"/>
  <c r="R98" i="4"/>
  <c r="R110" i="4"/>
  <c r="R260" i="4"/>
  <c r="R148" i="4"/>
  <c r="R105" i="4"/>
  <c r="R150" i="4"/>
  <c r="R185" i="4"/>
  <c r="R261" i="4"/>
  <c r="R141" i="4"/>
  <c r="R2" i="4"/>
  <c r="R8" i="4"/>
  <c r="R6" i="4"/>
  <c r="R262" i="4"/>
  <c r="R263" i="4"/>
  <c r="R264" i="4"/>
  <c r="R265" i="4"/>
  <c r="R195" i="4"/>
  <c r="R266" i="4"/>
  <c r="R267" i="4"/>
  <c r="R268" i="4"/>
  <c r="R57" i="4"/>
  <c r="R269" i="4"/>
  <c r="R111" i="4"/>
  <c r="R270" i="4"/>
  <c r="R42" i="4"/>
  <c r="R134" i="4"/>
  <c r="R44" i="4"/>
  <c r="R24" i="4"/>
  <c r="R271" i="4"/>
  <c r="R140" i="4"/>
  <c r="R272" i="4"/>
  <c r="R273" i="4"/>
  <c r="R38" i="4"/>
  <c r="R127" i="4"/>
  <c r="R138" i="4"/>
  <c r="R130" i="4"/>
  <c r="R85" i="4"/>
  <c r="R65" i="4"/>
  <c r="R162" i="4"/>
  <c r="R274" i="4"/>
  <c r="R108" i="4"/>
  <c r="R275" i="4"/>
  <c r="R276" i="4"/>
  <c r="R186" i="4"/>
  <c r="R17" i="4"/>
  <c r="R50" i="4"/>
  <c r="R277" i="4"/>
  <c r="R278" i="4"/>
  <c r="R200" i="4"/>
  <c r="R279" i="4"/>
  <c r="R119" i="4"/>
  <c r="R280" i="4"/>
  <c r="R281" i="4"/>
  <c r="R106" i="4"/>
  <c r="R282" i="4"/>
  <c r="R283" i="4"/>
  <c r="R117" i="4"/>
  <c r="R166" i="4"/>
  <c r="R168" i="4"/>
  <c r="R284" i="4"/>
  <c r="R285" i="4"/>
  <c r="R189" i="4"/>
  <c r="R61" i="4"/>
  <c r="R286" i="4"/>
  <c r="R33" i="4"/>
  <c r="R287" i="4"/>
  <c r="R288" i="4"/>
  <c r="R289" i="4"/>
  <c r="R290" i="4"/>
  <c r="R291" i="4"/>
  <c r="R292" i="4"/>
  <c r="R293" i="4"/>
  <c r="R294" i="4"/>
  <c r="R295" i="4"/>
  <c r="R12" i="4"/>
  <c r="R194" i="4"/>
  <c r="R296" i="4"/>
  <c r="R297" i="4"/>
  <c r="R201" i="4"/>
  <c r="R52" i="4"/>
  <c r="R298" i="4"/>
  <c r="R62" i="4"/>
  <c r="R118" i="4"/>
  <c r="R112" i="4"/>
  <c r="R299" i="4"/>
  <c r="R300" i="4"/>
  <c r="R301" i="4"/>
  <c r="R302" i="4"/>
  <c r="R303" i="4"/>
  <c r="R304" i="4"/>
  <c r="R305" i="4"/>
  <c r="R306" i="4"/>
  <c r="R128" i="4"/>
  <c r="R20" i="4"/>
  <c r="R307" i="4"/>
  <c r="R79" i="4"/>
  <c r="R308" i="4"/>
  <c r="R77" i="4"/>
  <c r="R309" i="4"/>
  <c r="R136" i="4"/>
  <c r="R310" i="4"/>
  <c r="R102" i="4"/>
  <c r="R311" i="4"/>
  <c r="R312" i="4"/>
  <c r="R313" i="4"/>
  <c r="R125" i="4"/>
  <c r="R314" i="4"/>
  <c r="R315" i="4"/>
  <c r="R182" i="4"/>
  <c r="R167" i="4"/>
  <c r="R190" i="4"/>
  <c r="R193" i="4"/>
  <c r="R199" i="4"/>
  <c r="R316" i="4"/>
  <c r="R317" i="4"/>
  <c r="R59" i="4"/>
  <c r="R183" i="4"/>
  <c r="R318" i="4"/>
  <c r="R319" i="4"/>
  <c r="R11" i="4"/>
  <c r="R100" i="4"/>
  <c r="R78" i="4"/>
  <c r="R180" i="4"/>
  <c r="R320" i="4"/>
  <c r="R321" i="4"/>
  <c r="R131" i="4"/>
  <c r="R322" i="4"/>
  <c r="R109" i="4"/>
  <c r="R145" i="4"/>
  <c r="R64" i="4"/>
  <c r="R81" i="4"/>
  <c r="R323" i="4"/>
  <c r="R80" i="4"/>
  <c r="R46" i="4"/>
  <c r="R324" i="4"/>
  <c r="R37" i="4"/>
  <c r="R325" i="4"/>
  <c r="R53" i="4"/>
  <c r="R326" i="4"/>
  <c r="R327" i="4"/>
  <c r="R328" i="4"/>
  <c r="R329" i="4"/>
  <c r="R29" i="4"/>
  <c r="R60" i="4"/>
  <c r="R330" i="4"/>
  <c r="R90" i="4"/>
  <c r="R331" i="4"/>
  <c r="R332" i="4"/>
  <c r="R72" i="4"/>
  <c r="R83" i="4"/>
  <c r="R5" i="4"/>
  <c r="R333" i="4"/>
  <c r="R334" i="4"/>
  <c r="R335" i="4"/>
  <c r="R36" i="4"/>
  <c r="R51" i="4"/>
  <c r="R336" i="4"/>
  <c r="R337" i="4"/>
  <c r="R338" i="4"/>
  <c r="R124" i="4"/>
  <c r="R207" i="4"/>
  <c r="R41" i="4"/>
  <c r="R339" i="4"/>
  <c r="R170" i="4"/>
  <c r="R75" i="4"/>
  <c r="R27" i="4"/>
  <c r="R97" i="4"/>
  <c r="R340" i="4"/>
  <c r="R173" i="4"/>
  <c r="R341" i="4"/>
  <c r="R48" i="4"/>
  <c r="R342" i="4"/>
  <c r="R203" i="4"/>
  <c r="R343" i="4"/>
  <c r="R197" i="4"/>
  <c r="R205" i="4"/>
  <c r="R129" i="4"/>
  <c r="R179" i="4"/>
  <c r="R344" i="4"/>
  <c r="R89" i="4"/>
  <c r="R25" i="4"/>
  <c r="R164" i="4"/>
  <c r="R63" i="4"/>
  <c r="R345" i="4"/>
  <c r="R174" i="4"/>
  <c r="R163" i="4"/>
  <c r="R32" i="4"/>
  <c r="R346" i="4"/>
  <c r="R151" i="4"/>
  <c r="R135" i="4"/>
  <c r="R3" i="4"/>
  <c r="R9" i="4"/>
  <c r="R7" i="4"/>
  <c r="R92" i="4"/>
  <c r="R347" i="4"/>
  <c r="R348" i="4"/>
  <c r="R349" i="4"/>
  <c r="R350" i="4"/>
  <c r="R176" i="4"/>
  <c r="R191" i="4"/>
  <c r="R351" i="4"/>
  <c r="R352" i="4"/>
  <c r="R353" i="4"/>
  <c r="R354" i="4"/>
  <c r="R355" i="4"/>
  <c r="R165" i="4"/>
  <c r="R356" i="4"/>
  <c r="R142" i="4"/>
  <c r="R107" i="4"/>
  <c r="R171" i="4"/>
  <c r="R31" i="4"/>
  <c r="R357" i="4"/>
  <c r="R123" i="4"/>
  <c r="R158" i="4"/>
  <c r="R358" i="4"/>
  <c r="R39" i="4"/>
  <c r="R13" i="4"/>
  <c r="R144" i="4"/>
  <c r="R94" i="4"/>
  <c r="R49" i="4"/>
  <c r="R154" i="4"/>
  <c r="R359" i="4"/>
  <c r="R360" i="4"/>
  <c r="R137" i="4"/>
  <c r="R67" i="4"/>
  <c r="R18" i="4"/>
  <c r="R45" i="4"/>
  <c r="R58" i="4"/>
  <c r="R161" i="4"/>
  <c r="R149" i="4"/>
  <c r="R361" i="4"/>
  <c r="R198" i="4"/>
  <c r="R362" i="4"/>
  <c r="R16" i="4"/>
  <c r="R159" i="4"/>
  <c r="R139" i="4"/>
  <c r="R363" i="4"/>
  <c r="R364" i="4"/>
  <c r="R365" i="4"/>
  <c r="R187" i="4"/>
  <c r="R115" i="4"/>
  <c r="R156" i="4"/>
  <c r="R160" i="4"/>
  <c r="R366" i="4"/>
  <c r="R367" i="4"/>
  <c r="R73" i="4"/>
  <c r="R103" i="4"/>
  <c r="R368" i="4"/>
  <c r="R121" i="4"/>
  <c r="R34" i="4"/>
  <c r="R177" i="4"/>
  <c r="R175" i="4"/>
  <c r="R26" i="4"/>
  <c r="R369" i="4"/>
  <c r="R370" i="4"/>
  <c r="R371" i="4"/>
  <c r="R372" i="4"/>
  <c r="R373" i="4"/>
  <c r="R374" i="4"/>
  <c r="R375" i="4"/>
  <c r="R376" i="4"/>
  <c r="R377" i="4"/>
  <c r="R378" i="4"/>
  <c r="R15" i="4"/>
  <c r="R22" i="4"/>
  <c r="R69" i="4"/>
  <c r="R379" i="4"/>
  <c r="R380" i="4"/>
  <c r="R381" i="4"/>
  <c r="R184" i="4"/>
  <c r="R382" i="4"/>
  <c r="R155" i="4"/>
  <c r="Q288" i="2"/>
  <c r="Q346" i="2"/>
  <c r="Q195" i="2"/>
  <c r="Q372" i="2"/>
  <c r="Q290" i="2"/>
  <c r="Q323" i="2"/>
  <c r="Q207" i="2"/>
  <c r="Q236" i="2"/>
  <c r="Q365" i="2"/>
  <c r="Q280" i="2"/>
  <c r="Q145" i="2"/>
  <c r="Q334" i="2"/>
  <c r="Q321" i="2"/>
  <c r="Q268" i="2"/>
  <c r="Q42" i="2"/>
  <c r="Q157" i="2"/>
  <c r="Q284" i="2"/>
  <c r="Q99" i="2"/>
  <c r="Q312" i="2"/>
  <c r="Q217" i="2"/>
  <c r="Q272" i="2"/>
  <c r="Q371" i="2"/>
  <c r="Q153" i="2"/>
  <c r="Q170" i="2"/>
  <c r="Q18" i="2"/>
  <c r="Q181" i="2"/>
  <c r="Q309" i="2"/>
  <c r="Q245" i="2"/>
  <c r="Q197" i="2"/>
  <c r="Q319" i="2"/>
  <c r="Q126" i="2"/>
  <c r="Q125" i="2"/>
  <c r="Q250" i="2"/>
  <c r="Q52" i="2"/>
  <c r="Q63" i="2"/>
  <c r="Q270" i="2"/>
  <c r="Q96" i="2"/>
  <c r="Q359" i="2"/>
  <c r="Q133" i="2"/>
  <c r="Q336" i="2"/>
  <c r="Q56" i="2"/>
  <c r="Q90" i="2"/>
  <c r="Q114" i="2"/>
  <c r="Q361" i="2"/>
  <c r="Q194" i="2"/>
  <c r="Q339" i="2"/>
  <c r="Q171" i="2"/>
  <c r="Q71" i="2"/>
  <c r="Q102" i="2"/>
  <c r="Q119" i="2"/>
  <c r="Q249" i="2"/>
  <c r="Q26" i="2"/>
  <c r="Q109" i="2"/>
  <c r="Q137" i="2"/>
  <c r="Q17" i="2"/>
  <c r="Q213" i="2"/>
  <c r="Q31" i="2"/>
  <c r="Q2" i="2"/>
  <c r="Q298" i="2"/>
  <c r="Q242" i="2"/>
  <c r="Q23" i="2"/>
  <c r="Q36" i="2"/>
  <c r="Q322" i="2"/>
  <c r="Q182" i="2"/>
  <c r="Q214" i="2"/>
  <c r="Q302" i="2"/>
  <c r="Q244" i="2"/>
  <c r="Q105" i="2"/>
  <c r="Q4" i="2"/>
  <c r="Q211" i="2"/>
  <c r="Q279" i="2"/>
  <c r="Q33" i="2"/>
  <c r="Q208" i="2"/>
  <c r="Q174" i="2"/>
  <c r="Q278" i="2"/>
  <c r="Q293" i="2"/>
  <c r="Q76" i="2"/>
  <c r="Q216" i="2"/>
  <c r="Q379" i="2"/>
  <c r="Q8" i="2"/>
  <c r="Q6" i="2"/>
  <c r="Q364" i="2"/>
  <c r="Q176" i="2"/>
  <c r="Q355" i="2"/>
  <c r="Q345" i="2"/>
  <c r="Q222" i="2"/>
  <c r="Q20" i="2"/>
  <c r="Q150" i="2"/>
  <c r="Q265" i="2"/>
  <c r="Q49" i="2"/>
  <c r="Q255" i="2"/>
  <c r="Q91" i="2"/>
  <c r="Q209" i="2"/>
  <c r="Q227" i="2"/>
  <c r="Q135" i="2"/>
  <c r="Q228" i="2"/>
  <c r="Q172" i="2"/>
  <c r="Q128" i="2"/>
  <c r="Q212" i="2"/>
  <c r="Q215" i="2"/>
  <c r="Q160" i="2"/>
  <c r="Q159" i="2"/>
  <c r="Q138" i="2"/>
  <c r="Q233" i="2"/>
  <c r="Q353" i="2"/>
  <c r="Q54" i="2"/>
  <c r="Q199" i="2"/>
  <c r="Q151" i="2"/>
  <c r="Q9" i="2"/>
  <c r="Q274" i="2"/>
  <c r="Q127" i="2"/>
  <c r="Q219" i="2"/>
  <c r="Q226" i="2"/>
  <c r="Q271" i="2"/>
  <c r="Q354" i="2"/>
  <c r="Q341" i="2"/>
  <c r="Q204" i="2"/>
  <c r="Q237" i="2"/>
  <c r="Q326" i="2"/>
  <c r="Q377" i="2"/>
  <c r="Q381" i="2"/>
  <c r="Q50" i="2"/>
  <c r="Q93" i="2"/>
  <c r="Q347" i="2"/>
  <c r="Q155" i="2"/>
  <c r="Q317" i="2"/>
  <c r="Q75" i="2"/>
  <c r="Q252" i="2"/>
  <c r="Q266" i="2"/>
  <c r="Q187" i="2"/>
  <c r="Q313" i="2"/>
  <c r="Q70" i="2"/>
  <c r="Q338" i="2"/>
  <c r="Q131" i="2"/>
  <c r="Q100" i="2"/>
  <c r="Q120" i="2"/>
  <c r="Q60" i="2"/>
  <c r="Q332" i="2"/>
  <c r="Q220" i="2"/>
  <c r="Q303" i="2"/>
  <c r="Q315" i="2"/>
  <c r="Q186" i="2"/>
  <c r="Q85" i="2"/>
  <c r="Q179" i="2"/>
  <c r="Q136" i="2"/>
  <c r="Q113" i="2"/>
  <c r="Q134" i="2"/>
  <c r="Q367" i="2"/>
  <c r="Q206" i="2"/>
  <c r="Q141" i="2"/>
  <c r="Q48" i="2"/>
  <c r="Q148" i="2"/>
  <c r="Q304" i="2"/>
  <c r="Q263" i="2"/>
  <c r="Q224" i="2"/>
  <c r="Q300" i="2"/>
  <c r="Q301" i="2"/>
  <c r="Q368" i="2"/>
  <c r="Q121" i="2"/>
  <c r="Q363" i="2"/>
  <c r="Q286" i="2"/>
  <c r="Q164" i="2"/>
  <c r="Q221" i="2"/>
  <c r="Q283" i="2"/>
  <c r="Q190" i="2"/>
  <c r="Q45" i="2"/>
  <c r="Q307" i="2"/>
  <c r="Q262" i="2"/>
  <c r="Q66" i="2"/>
  <c r="Q256" i="2"/>
  <c r="Q77" i="2"/>
  <c r="Q149" i="2"/>
  <c r="Q163" i="2"/>
  <c r="Q51" i="2"/>
  <c r="Q16" i="2"/>
  <c r="Q19" i="2"/>
  <c r="Q281" i="2"/>
  <c r="Q24" i="2"/>
  <c r="Q352" i="2"/>
  <c r="Q223" i="2"/>
  <c r="Q156" i="2"/>
  <c r="Q348" i="2"/>
  <c r="Q25" i="2"/>
  <c r="Q64" i="2"/>
  <c r="Q257" i="2"/>
  <c r="Q72" i="2"/>
  <c r="Q191" i="2"/>
  <c r="Q376" i="2"/>
  <c r="Q92" i="2"/>
  <c r="Q117" i="2"/>
  <c r="Q94" i="2"/>
  <c r="Q40" i="2"/>
  <c r="Q287" i="2"/>
  <c r="Q344" i="2"/>
  <c r="Q373" i="2"/>
  <c r="Q295" i="2"/>
  <c r="Q324" i="2"/>
  <c r="Q210" i="2"/>
  <c r="Q232" i="2"/>
  <c r="Q360" i="2"/>
  <c r="Q246" i="2"/>
  <c r="Q158" i="2"/>
  <c r="Q53" i="2"/>
  <c r="Q329" i="2"/>
  <c r="Q58" i="2"/>
  <c r="Q275" i="2"/>
  <c r="Q218" i="2"/>
  <c r="Q258" i="2"/>
  <c r="Q177" i="2"/>
  <c r="Q370" i="2"/>
  <c r="Q196" i="2"/>
  <c r="Q14" i="2"/>
  <c r="Q161" i="2"/>
  <c r="Q308" i="2"/>
  <c r="Q253" i="2"/>
  <c r="Q311" i="2"/>
  <c r="Q111" i="2"/>
  <c r="Q259" i="2"/>
  <c r="Q230" i="2"/>
  <c r="Q251" i="2"/>
  <c r="Q241" i="2"/>
  <c r="Q374" i="2"/>
  <c r="Q335" i="2"/>
  <c r="Q337" i="2"/>
  <c r="Q28" i="2"/>
  <c r="Q343" i="2"/>
  <c r="Q47" i="2"/>
  <c r="Q112" i="2"/>
  <c r="Q340" i="2"/>
  <c r="Q124" i="2"/>
  <c r="Q78" i="2"/>
  <c r="Q229" i="2"/>
  <c r="Q115" i="2"/>
  <c r="Q235" i="2"/>
  <c r="Q168" i="2"/>
  <c r="Q27" i="2"/>
  <c r="Q130" i="2"/>
  <c r="Q238" i="2"/>
  <c r="Q29" i="2"/>
  <c r="Q234" i="2"/>
  <c r="Q3" i="2"/>
  <c r="Q282" i="2"/>
  <c r="Q106" i="2"/>
  <c r="Q21" i="2"/>
  <c r="Q139" i="2"/>
  <c r="Q110" i="2"/>
  <c r="Q86" i="2"/>
  <c r="Q37" i="2"/>
  <c r="Q162" i="2"/>
  <c r="Q192" i="2"/>
  <c r="Q306" i="2"/>
  <c r="Q243" i="2"/>
  <c r="Q104" i="2"/>
  <c r="Q5" i="2"/>
  <c r="Q32" i="2"/>
  <c r="Q183" i="2"/>
  <c r="Q305" i="2"/>
  <c r="Q289" i="2"/>
  <c r="Q269" i="2"/>
  <c r="Q380" i="2"/>
  <c r="Q10" i="2"/>
  <c r="Q7" i="2"/>
  <c r="Q362" i="2"/>
  <c r="Q169" i="2"/>
  <c r="Q173" i="2"/>
  <c r="Q349" i="2"/>
  <c r="Q296" i="2"/>
  <c r="Q294" i="2"/>
  <c r="Q74" i="2"/>
  <c r="Q350" i="2"/>
  <c r="Q61" i="2"/>
  <c r="Q200" i="2"/>
  <c r="Q142" i="2"/>
  <c r="Q67" i="2"/>
  <c r="Q38" i="2"/>
  <c r="Q98" i="2"/>
  <c r="Q184" i="2"/>
  <c r="Q357" i="2"/>
  <c r="Q101" i="2"/>
  <c r="Q132" i="2"/>
  <c r="Q178" i="2"/>
  <c r="Q356" i="2"/>
  <c r="Q30" i="2"/>
  <c r="Q12" i="2"/>
  <c r="Q202" i="2"/>
  <c r="Q129" i="2"/>
  <c r="Q123" i="2"/>
  <c r="Q144" i="2"/>
  <c r="Q68" i="2"/>
  <c r="Q55" i="2"/>
  <c r="Q369" i="2"/>
  <c r="Q35" i="2"/>
  <c r="Q11" i="2"/>
  <c r="Q342" i="2"/>
  <c r="Q239" i="2"/>
  <c r="Q107" i="2"/>
  <c r="Q198" i="2"/>
  <c r="Q231" i="2"/>
  <c r="Q248" i="2"/>
  <c r="Q327" i="2"/>
  <c r="Q378" i="2"/>
  <c r="Q382" i="2"/>
  <c r="Q108" i="2"/>
  <c r="Q43" i="2"/>
  <c r="Q62" i="2"/>
  <c r="Q330" i="2"/>
  <c r="Q82" i="2"/>
  <c r="Q277" i="2"/>
  <c r="Q318" i="2"/>
  <c r="Q80" i="2"/>
  <c r="Q73" i="2"/>
  <c r="Q254" i="2"/>
  <c r="Q267" i="2"/>
  <c r="Q316" i="2"/>
  <c r="Q87" i="2"/>
  <c r="Q328" i="2"/>
  <c r="Q103" i="2"/>
  <c r="Q175" i="2"/>
  <c r="Q260" i="2"/>
  <c r="Q116" i="2"/>
  <c r="Q333" i="2"/>
  <c r="Q41" i="2"/>
  <c r="Q44" i="2"/>
  <c r="Q297" i="2"/>
  <c r="Q180" i="2"/>
  <c r="Q34" i="2"/>
  <c r="Q188" i="2"/>
  <c r="Q88" i="2"/>
  <c r="Q143" i="2"/>
  <c r="Q358" i="2"/>
  <c r="Q205" i="2"/>
  <c r="Q89" i="2"/>
  <c r="Q146" i="2"/>
  <c r="Q95" i="2"/>
  <c r="Q264" i="2"/>
  <c r="Q225" i="2"/>
  <c r="Q154" i="2"/>
  <c r="Q285" i="2"/>
  <c r="Q84" i="2"/>
  <c r="Q65" i="2"/>
  <c r="Q366" i="2"/>
  <c r="Q118" i="2"/>
  <c r="Q375" i="2"/>
  <c r="Q97" i="2"/>
  <c r="Q166" i="2"/>
  <c r="Q273" i="2"/>
  <c r="Q152" i="2"/>
  <c r="Q276" i="2"/>
  <c r="Q299" i="2"/>
  <c r="Q69" i="2"/>
  <c r="Q310" i="2"/>
  <c r="Q59" i="2"/>
  <c r="Q57" i="2"/>
  <c r="Q261" i="2"/>
  <c r="Q122" i="2"/>
  <c r="Q46" i="2"/>
  <c r="Q147" i="2"/>
  <c r="Q140" i="2"/>
  <c r="Q39" i="2"/>
  <c r="Q314" i="2"/>
  <c r="Q320" i="2"/>
  <c r="Q240" i="2"/>
  <c r="Q13" i="2"/>
  <c r="Q15" i="2"/>
  <c r="Q247" i="2"/>
  <c r="Q22" i="2"/>
  <c r="Q351" i="2"/>
  <c r="Q201" i="2"/>
  <c r="Q83" i="2"/>
  <c r="Q331" i="2"/>
  <c r="Q81" i="2"/>
  <c r="Q203" i="2"/>
  <c r="Q291" i="2"/>
  <c r="Q292" i="2"/>
  <c r="Q189" i="2"/>
  <c r="Q193" i="2"/>
  <c r="Q185" i="2"/>
  <c r="Q79" i="2"/>
  <c r="Q325" i="2"/>
  <c r="Q165" i="2"/>
  <c r="Q167" i="2"/>
  <c r="J17" i="3"/>
  <c r="J41" i="3"/>
  <c r="E5" i="3"/>
  <c r="D4" i="3"/>
  <c r="N39" i="3"/>
  <c r="C4" i="3"/>
  <c r="J40" i="3"/>
  <c r="J37" i="3"/>
  <c r="F22" i="3"/>
  <c r="E22" i="3" s="1"/>
  <c r="F23" i="3"/>
  <c r="E23" i="3" s="1"/>
  <c r="F24" i="3"/>
  <c r="E24" i="3" s="1"/>
  <c r="F25" i="3"/>
  <c r="E25" i="3" s="1"/>
  <c r="F26" i="3"/>
  <c r="E26" i="3" s="1"/>
  <c r="F27" i="3"/>
  <c r="E27" i="3" s="1"/>
  <c r="F28" i="3"/>
  <c r="E28" i="3" s="1"/>
  <c r="F29" i="3"/>
  <c r="E29" i="3" s="1"/>
  <c r="F21" i="3"/>
  <c r="E21" i="3" s="1"/>
  <c r="F5" i="3" l="1"/>
  <c r="F4" i="3"/>
  <c r="E4" i="3"/>
  <c r="D5" i="3"/>
  <c r="C5" i="3"/>
  <c r="E30" i="3"/>
  <c r="E31" i="3" l="1"/>
  <c r="C3" i="3" s="1"/>
  <c r="D3" i="3" l="1"/>
  <c r="E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0D93A7-92E1-49E9-8A24-EF63A53839F7}" keepAlive="1" name="Query - unitlist" description="Connection to the 'unitlist' query in the workbook." type="5" refreshedVersion="8" background="1" saveData="1">
    <dbPr connection="Provider=Microsoft.Mashup.OleDb.1;Data Source=$Workbook$;Location=unitlist;Extended Properties=&quot;&quot;" command="SELECT * FROM [unitlist]"/>
  </connection>
  <connection id="2" xr16:uid="{2B5D05E6-FA0C-4326-840E-F3C7F2FE4BDB}" keepAlive="1" name="Query - unitlist (2)" description="Connection to the 'unitlist (2)' query in the workbook." type="5" refreshedVersion="8" background="1" saveData="1">
    <dbPr connection="Provider=Microsoft.Mashup.OleDb.1;Data Source=$Workbook$;Location=&quot;unitlist (2)&quot;;Extended Properties=&quot;&quot;" command="SELECT * FROM [unitlist (2)]"/>
  </connection>
</connections>
</file>

<file path=xl/sharedStrings.xml><?xml version="1.0" encoding="utf-8"?>
<sst xmlns="http://schemas.openxmlformats.org/spreadsheetml/2006/main" count="8834" uniqueCount="1680">
  <si>
    <t>id</t>
  </si>
  <si>
    <t>faction</t>
  </si>
  <si>
    <t>techlevel</t>
  </si>
  <si>
    <t>name</t>
  </si>
  <si>
    <t>tooltip</t>
  </si>
  <si>
    <t>description</t>
  </si>
  <si>
    <t>radaricon</t>
  </si>
  <si>
    <t>height</t>
  </si>
  <si>
    <t>metalcost</t>
  </si>
  <si>
    <t>energycost</t>
  </si>
  <si>
    <t>buildtime</t>
  </si>
  <si>
    <t>metalmake</t>
  </si>
  <si>
    <t>energymake</t>
  </si>
  <si>
    <t>buildpower</t>
  </si>
  <si>
    <t>speed</t>
  </si>
  <si>
    <t>health</t>
  </si>
  <si>
    <t>amphib</t>
  </si>
  <si>
    <t>sub</t>
  </si>
  <si>
    <t>air</t>
  </si>
  <si>
    <t>hover</t>
  </si>
  <si>
    <t>ship</t>
  </si>
  <si>
    <t>tank</t>
  </si>
  <si>
    <t>bot</t>
  </si>
  <si>
    <t>building</t>
  </si>
  <si>
    <t>dps</t>
  </si>
  <si>
    <t>weaponrange</t>
  </si>
  <si>
    <t>jammerrange</t>
  </si>
  <si>
    <t>sonarrange</t>
  </si>
  <si>
    <t>radarrange</t>
  </si>
  <si>
    <t>sightrange</t>
  </si>
  <si>
    <t>airsightrange</t>
  </si>
  <si>
    <t>specials</t>
  </si>
  <si>
    <t>weapons</t>
  </si>
  <si>
    <t>buildoptions</t>
  </si>
  <si>
    <t>buildable</t>
  </si>
  <si>
    <t>file</t>
  </si>
  <si>
    <t>Column1</t>
  </si>
  <si>
    <t>armaak</t>
  </si>
  <si>
    <t>ARM</t>
  </si>
  <si>
    <t>Archangel</t>
  </si>
  <si>
    <t>Advanced Amphibious Anti-Air Bot</t>
  </si>
  <si>
    <t/>
  </si>
  <si>
    <t>bot_amph_t2_aa</t>
  </si>
  <si>
    <t>Cannon, 3x MissileLauncher</t>
  </si>
  <si>
    <t>armaap</t>
  </si>
  <si>
    <t>Advanced Aircraft Plant</t>
  </si>
  <si>
    <t>Produces Tech 2 Aircraft</t>
  </si>
  <si>
    <t>factory_air_t2</t>
  </si>
  <si>
    <t>radar</t>
  </si>
  <si>
    <t>armaca, armbrawl, armpnix, armlance, armhawk, armawac, armdfly, armblade, armstil, armliche</t>
  </si>
  <si>
    <t>armaas</t>
  </si>
  <si>
    <t>Dragonslayer</t>
  </si>
  <si>
    <t>Anti-Air Ship</t>
  </si>
  <si>
    <t>ship_t2_aa_flak</t>
  </si>
  <si>
    <t>Cannon, MissileLauncher</t>
  </si>
  <si>
    <t>armaca</t>
  </si>
  <si>
    <t>Advanced Construction Aircraft</t>
  </si>
  <si>
    <t>Tech 2 Constructor</t>
  </si>
  <si>
    <t>air_t2_worker</t>
  </si>
  <si>
    <t>armfus, armafus, armckfus, armageo, armuwageo, armgmm, armmoho, armmmkr, armuwadves, armuwadvms, armarad, armveil, armfort, armasp, armfasp, armtarg, armsd, armgate, armamb, armpb, armanni, armflak, armmercury, armemp, armamd, armsilo, armbrtha, armvulc, armdf, armap, armaap, armplat, armshltx</t>
  </si>
  <si>
    <t>armack</t>
  </si>
  <si>
    <t>Advanced Construction Bot</t>
  </si>
  <si>
    <t>bot_t2_worker</t>
  </si>
  <si>
    <t>armfus, armafus, armckfus, armshltx, armageo, armgmm, armmoho, armmmkr, armuwadves, armuwadvms, armarad, armveil, armfort, armasp, armtarg, armsd, armgate, armamb, armpb, armanni, armflak, armmercury, armemp, armamd, armsilo, armbrtha, armvulc, armdf, armlab, armalab</t>
  </si>
  <si>
    <t>armacsub</t>
  </si>
  <si>
    <t>Advanced Construction Sub</t>
  </si>
  <si>
    <t>sub_t2_worker</t>
  </si>
  <si>
    <t>armuwfus, armuwmmm, armuwmme, armuwadves, armuwadvms, armshltxuw, armasy, armsy, armason, armfatf, armatl, armfflak, armkraken, armuwageo, armfasp</t>
  </si>
  <si>
    <t>armacv</t>
  </si>
  <si>
    <t>Advanced Construction Vehicle</t>
  </si>
  <si>
    <t>vehicle_t2_worker</t>
  </si>
  <si>
    <t>armfus, armckfus, armafus, armageo, armgmm, armmoho, armmmkr, armuwadves, armuwadvms, armarad, armveil, armfort, armasp, armtarg, armsd, armgate, armamb, armpb, armanni, armflak, armmercury, armemp, armamd, armsilo, armbrtha, armvulc, armdf, armvp, armavp, armshltx</t>
  </si>
  <si>
    <t>armadvsol</t>
  </si>
  <si>
    <t>Advanced Solar Collector</t>
  </si>
  <si>
    <t>Produces 75 Energy</t>
  </si>
  <si>
    <t>energy2_1.18</t>
  </si>
  <si>
    <t>armafus</t>
  </si>
  <si>
    <t>Advanced Fusion Reactor</t>
  </si>
  <si>
    <t>Produces 3000 Energy (Hazardous)</t>
  </si>
  <si>
    <t>energy5_1.85</t>
  </si>
  <si>
    <t>armageo</t>
  </si>
  <si>
    <t>Advanced Geothermal Powerplant</t>
  </si>
  <si>
    <t>Produces 1250 Energy (Hazardous)</t>
  </si>
  <si>
    <t>hazardous</t>
  </si>
  <si>
    <t>armah</t>
  </si>
  <si>
    <t>Sweeper</t>
  </si>
  <si>
    <t>Anti-Air Hovercraft</t>
  </si>
  <si>
    <t>hover_aa</t>
  </si>
  <si>
    <t>MissileLauncher</t>
  </si>
  <si>
    <t>armalab</t>
  </si>
  <si>
    <t>Advanced Bot Lab</t>
  </si>
  <si>
    <t>Produces Tech 2 Bots</t>
  </si>
  <si>
    <t>factory_bot_t2</t>
  </si>
  <si>
    <t>armack, armfark, armfast, armamph, armzeus, armmav, armsptk, armfido, armsnipe, armfboy, armspid, armaak, armvader, armdecom, armscab, armaser, armspy, armmark</t>
  </si>
  <si>
    <t>armamb</t>
  </si>
  <si>
    <t>Rattlesnake</t>
  </si>
  <si>
    <t>Cloakable Pop-up Plasma Artillery</t>
  </si>
  <si>
    <t>def_t2_arty</t>
  </si>
  <si>
    <t>cloak</t>
  </si>
  <si>
    <t>2x Cannon</t>
  </si>
  <si>
    <t>armamd</t>
  </si>
  <si>
    <t>Citadel</t>
  </si>
  <si>
    <t>Anti-Nuke System</t>
  </si>
  <si>
    <t>antinuke</t>
  </si>
  <si>
    <t>StarburstLauncher</t>
  </si>
  <si>
    <t>armamex</t>
  </si>
  <si>
    <t>Twilight</t>
  </si>
  <si>
    <t>Stealthy Cloakable Metal Extractor</t>
  </si>
  <si>
    <t>mex_t1_emp</t>
  </si>
  <si>
    <t>cloak, stealth</t>
  </si>
  <si>
    <t>armamph</t>
  </si>
  <si>
    <t>Platypus</t>
  </si>
  <si>
    <t>Amphibious Bot</t>
  </si>
  <si>
    <t>amph_t2_aa</t>
  </si>
  <si>
    <t>BeamLaser, MissileLauncher</t>
  </si>
  <si>
    <t>armamsub</t>
  </si>
  <si>
    <t>Amphibious Complex</t>
  </si>
  <si>
    <t>Produces Amphibious / Underwater Units</t>
  </si>
  <si>
    <t>factory_amph</t>
  </si>
  <si>
    <t>armbeaver, armpincer, armcroc, armjeth, armaak, armdecom</t>
  </si>
  <si>
    <t>armanac</t>
  </si>
  <si>
    <t>Crocodile</t>
  </si>
  <si>
    <t>Hovertank</t>
  </si>
  <si>
    <t>hover_gun</t>
  </si>
  <si>
    <t>Cannon</t>
  </si>
  <si>
    <t>armanni</t>
  </si>
  <si>
    <t>Pulsar</t>
  </si>
  <si>
    <t>Tachyon Accelerator</t>
  </si>
  <si>
    <t>BeamLaser</t>
  </si>
  <si>
    <t>armantiship</t>
  </si>
  <si>
    <t>Mobile Anti-Nuke, Generator, and Radar/Sonar</t>
  </si>
  <si>
    <t>ship_t2_carrier</t>
  </si>
  <si>
    <t>armap</t>
  </si>
  <si>
    <t>Aircraft Plant</t>
  </si>
  <si>
    <t>Produces Tech 1 Aircraft</t>
  </si>
  <si>
    <t>factory_air</t>
  </si>
  <si>
    <t>armarad</t>
  </si>
  <si>
    <t>Advanced Radar Tower</t>
  </si>
  <si>
    <t>Long-Range Radar</t>
  </si>
  <si>
    <t>radar_t2</t>
  </si>
  <si>
    <t>armart</t>
  </si>
  <si>
    <t>Shellshocker</t>
  </si>
  <si>
    <t>Light Artillery Vehicle</t>
  </si>
  <si>
    <t>vehicle_arty</t>
  </si>
  <si>
    <t>armaser</t>
  </si>
  <si>
    <t>Smuggler</t>
  </si>
  <si>
    <t>Radar Jammer Bot</t>
  </si>
  <si>
    <t>bot_t2_jammer</t>
  </si>
  <si>
    <t>jammer</t>
  </si>
  <si>
    <t>armason</t>
  </si>
  <si>
    <t>Advanced Sonar Station</t>
  </si>
  <si>
    <t>Extended Sonar</t>
  </si>
  <si>
    <t>armasp</t>
  </si>
  <si>
    <t>Air Repair Pad</t>
  </si>
  <si>
    <t>Automatically Repairs Aircraft</t>
  </si>
  <si>
    <t>armasp_2.4</t>
  </si>
  <si>
    <t>airbase</t>
  </si>
  <si>
    <t>Battle Mech</t>
  </si>
  <si>
    <t>LaserCannon</t>
  </si>
  <si>
    <t>armasy</t>
  </si>
  <si>
    <t>Advanced Shipyard</t>
  </si>
  <si>
    <t>Produces Tech 2 Ships</t>
  </si>
  <si>
    <t>factory_ship_t2</t>
  </si>
  <si>
    <t>armacsub, armmls, armcrus, armsubk, armserp, armaas, armsjam, armantiship, armbats, armmship, armepoch, armlship</t>
  </si>
  <si>
    <t>armatl</t>
  </si>
  <si>
    <t>Moray</t>
  </si>
  <si>
    <t>Advanced Torpedo Launcher</t>
  </si>
  <si>
    <t>defence_2_naval</t>
  </si>
  <si>
    <t>TorpedoLauncher</t>
  </si>
  <si>
    <t>armatlas</t>
  </si>
  <si>
    <t>Stork</t>
  </si>
  <si>
    <t>air_trans</t>
  </si>
  <si>
    <t>transport</t>
  </si>
  <si>
    <t>armavp</t>
  </si>
  <si>
    <t>Advanced Vehicle Plant</t>
  </si>
  <si>
    <t>Produces Tech 2 Vehicles</t>
  </si>
  <si>
    <t>factory_vehicle_t2</t>
  </si>
  <si>
    <t>armacv, armconsul, armcroc, armlatnk, armbull, armgremlin, armmart, armmerl, armmanni, armyork, armseer, armjam</t>
  </si>
  <si>
    <t>armawac</t>
  </si>
  <si>
    <t>Oracle</t>
  </si>
  <si>
    <t>Radar / Sonar Plane</t>
  </si>
  <si>
    <t>air_t2_radar</t>
  </si>
  <si>
    <t>armbanth</t>
  </si>
  <si>
    <t>Titan</t>
  </si>
  <si>
    <t>Assault Mech</t>
  </si>
  <si>
    <t>bantha</t>
  </si>
  <si>
    <t>StarburstLauncher, LaserCannon, BeamLaser, Cannon</t>
  </si>
  <si>
    <t>armbats</t>
  </si>
  <si>
    <t>Dreadnought</t>
  </si>
  <si>
    <t>Battleship</t>
  </si>
  <si>
    <t>ship_t2_battleship</t>
  </si>
  <si>
    <t>armbeamer</t>
  </si>
  <si>
    <t>Beamer</t>
  </si>
  <si>
    <t>Beam Laser Turret</t>
  </si>
  <si>
    <t>def_beamer</t>
  </si>
  <si>
    <t>armbeaver</t>
  </si>
  <si>
    <t>Beaver</t>
  </si>
  <si>
    <t>Amphibious Construction Vehicle</t>
  </si>
  <si>
    <t>amphib_worker</t>
  </si>
  <si>
    <t>armblade</t>
  </si>
  <si>
    <t>Hornet</t>
  </si>
  <si>
    <t>Rapid Assault Gunship</t>
  </si>
  <si>
    <t>air_t2_hover_missile</t>
  </si>
  <si>
    <t>armbrawl</t>
  </si>
  <si>
    <t>Roughneck</t>
  </si>
  <si>
    <t>Gunship</t>
  </si>
  <si>
    <t>air_t2_hover</t>
  </si>
  <si>
    <t>armbrtha</t>
  </si>
  <si>
    <t>Basilica</t>
  </si>
  <si>
    <t>Long Range Plasma Cannon</t>
  </si>
  <si>
    <t>armbull</t>
  </si>
  <si>
    <t>Bull</t>
  </si>
  <si>
    <t>Heavy Assault Tank</t>
  </si>
  <si>
    <t>vehicle_t2_tank</t>
  </si>
  <si>
    <t>armca</t>
  </si>
  <si>
    <t>Construction Aircraft</t>
  </si>
  <si>
    <t>Tech 1 Constructor</t>
  </si>
  <si>
    <t>air_worker</t>
  </si>
  <si>
    <t>armsolar, armadvsol, armwin, armgeo, armmstor, armestor, armmex, armamex, armmakr, armasp, armaap, armlab, armvp, armap, armhp, armnanotc, armeyes, armrad, armdrag, armclaw, armllt, armbeamer, armhlt, armguard, armrl, armferret, armcir, armdl, armjamt, armjuno, armsy, armuwgeo, armfasp</t>
  </si>
  <si>
    <t>armch</t>
  </si>
  <si>
    <t>Construction Hovercraft</t>
  </si>
  <si>
    <t>hover_worker</t>
  </si>
  <si>
    <t>armsolar, armadvsol, armwin, armgeo, armmstor, armestor, armmex, armamex, armmakr, armlab, armvp, armap, armhp, armnanotc, armnanotcplat, armeyes, armrad, armdrag, armclaw, armllt, armbeamer, armhlt, armguard, armrl, armferret, armcir, armdl, armjamt, armjuno, armfhp, armsy, armamsub, armplat, armtide, armfmkr, armuwms, armuwes, armfdrag, armfrad, armfhlt, armfrt, armtl, armavp, armasy, armuwgeo</t>
  </si>
  <si>
    <t>armcir</t>
  </si>
  <si>
    <t>Chainsaw</t>
  </si>
  <si>
    <t>Bomb-Resistant Medium-Range Anti-Air Missile Battery</t>
  </si>
  <si>
    <t>aa_t1_long</t>
  </si>
  <si>
    <t>armck</t>
  </si>
  <si>
    <t>Construction Bot</t>
  </si>
  <si>
    <t>bot_worker</t>
  </si>
  <si>
    <t>armsolar, armadvsol, armwin, armgeo, armmstor, armestor, armmex, armamex, armmakr, armalab, armlab, armvp, armap, armhp, armnanotc, armeyes, armrad, armdrag, armclaw, armllt, armbeamer, armhlt, armguard, armrl, armferret, armcir, armdl, armjamt, armjuno, armsy</t>
  </si>
  <si>
    <t>armckfus</t>
  </si>
  <si>
    <t>Cloakable Fusion Reactor</t>
  </si>
  <si>
    <t>Produces 1050 Energy</t>
  </si>
  <si>
    <t>fusion</t>
  </si>
  <si>
    <t>armclaw</t>
  </si>
  <si>
    <t>Dragon's Claw</t>
  </si>
  <si>
    <t>Pop-up Lightning Turret</t>
  </si>
  <si>
    <t>wall_0.4</t>
  </si>
  <si>
    <t>stealth, jammer</t>
  </si>
  <si>
    <t>LightningCannon</t>
  </si>
  <si>
    <t>armcom</t>
  </si>
  <si>
    <t>Armada Commander</t>
  </si>
  <si>
    <t>Commander</t>
  </si>
  <si>
    <t>cloak, capturer</t>
  </si>
  <si>
    <t>2x BeamLaser, DGun</t>
  </si>
  <si>
    <t>armsolar, armwin, armmstor, armestor, armmex, armmakr, armlab, armvp, armap, armeyes, armrad, armdrag, armllt, armrl, armdl, armtide, armuwms, armuwes, armfmkr, armsy, armfdrag, armtl, armfrt, armfrad, armhp, armfhp</t>
  </si>
  <si>
    <t>/armcom.lua</t>
  </si>
  <si>
    <t>armconsul</t>
  </si>
  <si>
    <t>Consul</t>
  </si>
  <si>
    <t>Combat Engineer</t>
  </si>
  <si>
    <t>armconsul_1.35</t>
  </si>
  <si>
    <t>armsolar, armmex, armvp, armnanotc, armeyes, armveil, armfort, armarad, armmine2, armdl, armbeamer, armamb, armferret, armflak, armcv, armpw, armjeth, armspid, armfast, armmav, armcs, armroy, armamph</t>
  </si>
  <si>
    <t>armcroc</t>
  </si>
  <si>
    <t>Turtle</t>
  </si>
  <si>
    <t>Heavy Amphibious Tank</t>
  </si>
  <si>
    <t>armcrus</t>
  </si>
  <si>
    <t>Paladin</t>
  </si>
  <si>
    <t>Cruiser</t>
  </si>
  <si>
    <t>ship_t2_cruiser_plasma</t>
  </si>
  <si>
    <t>TorpedoLauncher, BeamLaser, Cannon</t>
  </si>
  <si>
    <t>armcs</t>
  </si>
  <si>
    <t>Construction Ship</t>
  </si>
  <si>
    <t>ship_worker</t>
  </si>
  <si>
    <t>armmex, armvp, armap, armlab, armeyes, armdl, armdrag, armclaw, armguard, armtide, armgeo, armuwgeo, armfmkr, armuwms, armuwes, armsy, armasy, armnanotcplat, armfhp, armamsub, armplat, armfrad, armfdrag, armtl, armfrt, armfhlt</t>
  </si>
  <si>
    <t>armcsa</t>
  </si>
  <si>
    <t>Construction Seaplane</t>
  </si>
  <si>
    <t>air_worker_sea</t>
  </si>
  <si>
    <t>armsolar, armadvsol, armwin, armgeo, armmstor, armestor, armmex, armamex, armmakr, armlab, armvp, armap, armhp, armnanotc, armnanotcplat, armeyes, armrad, armdrag, armclaw, armllt, armbeamer, armhlt, armguard, armrl, armferret, armcir, armdl, armjamt, armjuno, armfhp, armsy, armamsub, armplat, armtide, armfmkr, armuwms, armuwes, armfdrag, armfrad, armfhlt, armfrt, armtl, armuwgeo, armasp, armfasp</t>
  </si>
  <si>
    <t>armcv</t>
  </si>
  <si>
    <t>Construction Vehicle</t>
  </si>
  <si>
    <t>vehicle_worker</t>
  </si>
  <si>
    <t>armsolar, armadvsol, armwin, armgeo, armmstor, armestor, armmex, armamex, armmakr, armavp, armlab, armvp, armap, armhp, armnanotc, armeyes, armrad, armdrag, armclaw, armllt, armbeamer, armhlt, armguard, armrl, armferret, armcir, armdl, armjamt, armjuno, armsy</t>
  </si>
  <si>
    <t>armdecade</t>
  </si>
  <si>
    <t>Dolphin</t>
  </si>
  <si>
    <t>Fast Assault Corvette</t>
  </si>
  <si>
    <t>ship_raid</t>
  </si>
  <si>
    <t>armdecom</t>
  </si>
  <si>
    <t>Decoy Commander</t>
  </si>
  <si>
    <t>armmine1, armmine2, armmine3, armsolar, armwin, armmstor, armestor, armmex, armmakr, armrad, armllt, armrl, armtide, armuwms, armuwes, armfmkr</t>
  </si>
  <si>
    <t>armdf</t>
  </si>
  <si>
    <t>Decoy Fusion Reactor</t>
  </si>
  <si>
    <t>Does not produce Energy, used to confuse the enemy</t>
  </si>
  <si>
    <t>armdfly</t>
  </si>
  <si>
    <t>Abductor</t>
  </si>
  <si>
    <t>Stealthy Armed Heavy Transport</t>
  </si>
  <si>
    <t>stealth, transport</t>
  </si>
  <si>
    <t>EMP-BeamLaser</t>
  </si>
  <si>
    <t>armdl</t>
  </si>
  <si>
    <t>Anemone</t>
  </si>
  <si>
    <t>Coastal Torpedo Launcher</t>
  </si>
  <si>
    <t>defence_1_naval</t>
  </si>
  <si>
    <t>armdrag</t>
  </si>
  <si>
    <t>Dragon's Teeth</t>
  </si>
  <si>
    <t>Fortification</t>
  </si>
  <si>
    <t>armemp</t>
  </si>
  <si>
    <t>Paralyzer</t>
  </si>
  <si>
    <t>EMP Missile Launcher</t>
  </si>
  <si>
    <t>emp</t>
  </si>
  <si>
    <t>EMP-StarburstLauncher</t>
  </si>
  <si>
    <t>armepoch</t>
  </si>
  <si>
    <t>Epoch</t>
  </si>
  <si>
    <t>Flagship</t>
  </si>
  <si>
    <t>ship_t2_flagship</t>
  </si>
  <si>
    <t>5x Cannon, 2x MissileLauncher</t>
  </si>
  <si>
    <t>armestor</t>
  </si>
  <si>
    <t>Energy Storage</t>
  </si>
  <si>
    <t>Increases Energy Storage (6000)</t>
  </si>
  <si>
    <t>energystorage</t>
  </si>
  <si>
    <t>armeyes</t>
  </si>
  <si>
    <t>Beholder</t>
  </si>
  <si>
    <t>Perimeter Camera</t>
  </si>
  <si>
    <t>eye</t>
  </si>
  <si>
    <t>armfark</t>
  </si>
  <si>
    <t>Butler</t>
  </si>
  <si>
    <t>Fast Assist / Repair Bot</t>
  </si>
  <si>
    <t>engineer_small</t>
  </si>
  <si>
    <t>armsolar, armwin, armmex, armmakr, armeyes, armmark, armaser</t>
  </si>
  <si>
    <t>armfasp</t>
  </si>
  <si>
    <t>armfast</t>
  </si>
  <si>
    <t>Sprinter</t>
  </si>
  <si>
    <t>Fast Raider Bot</t>
  </si>
  <si>
    <t>bot_t2_raid</t>
  </si>
  <si>
    <t>armfatf</t>
  </si>
  <si>
    <t>Naval Pinpointer</t>
  </si>
  <si>
    <t>Enhanced Radar Targeting</t>
  </si>
  <si>
    <t>targetting</t>
  </si>
  <si>
    <t>armfav</t>
  </si>
  <si>
    <t>Rover</t>
  </si>
  <si>
    <t>Light Scout Vehicle</t>
  </si>
  <si>
    <t>vehicle</t>
  </si>
  <si>
    <t>armfboy</t>
  </si>
  <si>
    <t>Fatboy</t>
  </si>
  <si>
    <t>Heavy Plasma Bot</t>
  </si>
  <si>
    <t>bot_t2_plasma_aoe</t>
  </si>
  <si>
    <t>armfdrag</t>
  </si>
  <si>
    <t>Shark's Teeth</t>
  </si>
  <si>
    <t>Naval Fortification</t>
  </si>
  <si>
    <t>armferret</t>
  </si>
  <si>
    <t>Ferret</t>
  </si>
  <si>
    <t>Pop-Up Anti-Air Missile Battery</t>
  </si>
  <si>
    <t>aa_t15</t>
  </si>
  <si>
    <t>armfflak</t>
  </si>
  <si>
    <t>Naval Arbalest</t>
  </si>
  <si>
    <t>Anti-Air Flak Gun - Naval Series</t>
  </si>
  <si>
    <t>aa_flak_t2</t>
  </si>
  <si>
    <t>armfhlt</t>
  </si>
  <si>
    <t>Manta</t>
  </si>
  <si>
    <t>Floating Heavy Laser Tower</t>
  </si>
  <si>
    <t>defence_1_laser</t>
  </si>
  <si>
    <t>armfhp</t>
  </si>
  <si>
    <t>Naval Hovercraft Platform</t>
  </si>
  <si>
    <t>Builds Hovercraft</t>
  </si>
  <si>
    <t>factory_hover</t>
  </si>
  <si>
    <t>armch, armsh, armanac, armah, armmh</t>
  </si>
  <si>
    <t>armfido</t>
  </si>
  <si>
    <t>Hound</t>
  </si>
  <si>
    <t>Mortar / Skirmish Bot</t>
  </si>
  <si>
    <t>bot_arty_t2</t>
  </si>
  <si>
    <t>armfig</t>
  </si>
  <si>
    <t>Falcon</t>
  </si>
  <si>
    <t>Fighter</t>
  </si>
  <si>
    <t>armflak</t>
  </si>
  <si>
    <t>Arbalest</t>
  </si>
  <si>
    <t>Anti-Air Flak Gun</t>
  </si>
  <si>
    <t>armflash</t>
  </si>
  <si>
    <t>Blitz</t>
  </si>
  <si>
    <t>Fast Assault Tank</t>
  </si>
  <si>
    <t>vehicle_t1_raid</t>
  </si>
  <si>
    <t>armflea</t>
  </si>
  <si>
    <t>Tick</t>
  </si>
  <si>
    <t>Fast Scout Bot</t>
  </si>
  <si>
    <t>bot_t1_flea</t>
  </si>
  <si>
    <t>armfmine3</t>
  </si>
  <si>
    <t>Heavy Mine</t>
  </si>
  <si>
    <t>Heavy Mine, Naval Series</t>
  </si>
  <si>
    <t>mine</t>
  </si>
  <si>
    <t>cloak, stealth, sonar-stealth</t>
  </si>
  <si>
    <t>armfmkr</t>
  </si>
  <si>
    <t>Naval Energy Converter</t>
  </si>
  <si>
    <t>metalmaker_t1</t>
  </si>
  <si>
    <t>armfort</t>
  </si>
  <si>
    <t>Fortification Wall</t>
  </si>
  <si>
    <t>Advanced Fortification</t>
  </si>
  <si>
    <t>armfrad</t>
  </si>
  <si>
    <t>Naval Radar / Sonar Tower</t>
  </si>
  <si>
    <t>Early Warning System</t>
  </si>
  <si>
    <t>radar_t1</t>
  </si>
  <si>
    <t>armfrt</t>
  </si>
  <si>
    <t>Naval Nettle</t>
  </si>
  <si>
    <t>Floating Anti-air Tower</t>
  </si>
  <si>
    <t>aa</t>
  </si>
  <si>
    <t>armfus</t>
  </si>
  <si>
    <t>Fusion Reactor</t>
  </si>
  <si>
    <t>Produces 1000 Energy</t>
  </si>
  <si>
    <t>armgate</t>
  </si>
  <si>
    <t>Keeper</t>
  </si>
  <si>
    <t>Plasma Deflector</t>
  </si>
  <si>
    <t>shield</t>
  </si>
  <si>
    <t>Shield</t>
  </si>
  <si>
    <t>armgeo</t>
  </si>
  <si>
    <t>Geothermal Powerplant</t>
  </si>
  <si>
    <t>Produces 300 Energy</t>
  </si>
  <si>
    <t>energy6_1.3</t>
  </si>
  <si>
    <t>armgmm</t>
  </si>
  <si>
    <t>Prude</t>
  </si>
  <si>
    <t>Safe Geothermal Powerplant, produces 750 Energy</t>
  </si>
  <si>
    <t>energy_geo_safe</t>
  </si>
  <si>
    <t>armgremlin</t>
  </si>
  <si>
    <t>Gremlin</t>
  </si>
  <si>
    <t>Stealth Tank</t>
  </si>
  <si>
    <t>armst_1.25</t>
  </si>
  <si>
    <t>armguard</t>
  </si>
  <si>
    <t>Gauntlet</t>
  </si>
  <si>
    <t>Area Control Plasma Artillery</t>
  </si>
  <si>
    <t>def_t1_arty</t>
  </si>
  <si>
    <t>armham</t>
  </si>
  <si>
    <t>Mace</t>
  </si>
  <si>
    <t>Light Plasma Bot</t>
  </si>
  <si>
    <t>bot_plasma_t1</t>
  </si>
  <si>
    <t>armhawk</t>
  </si>
  <si>
    <t>Highwind</t>
  </si>
  <si>
    <t>Stealth Fighter</t>
  </si>
  <si>
    <t>air_t2</t>
  </si>
  <si>
    <t>stealth</t>
  </si>
  <si>
    <t>armhlt</t>
  </si>
  <si>
    <t>Overwatch</t>
  </si>
  <si>
    <t>Area Control Laser Tower</t>
  </si>
  <si>
    <t>defence_1.5_laser</t>
  </si>
  <si>
    <t>armhp</t>
  </si>
  <si>
    <t>Hovercraft Platform</t>
  </si>
  <si>
    <t>armjam</t>
  </si>
  <si>
    <t>Umbra</t>
  </si>
  <si>
    <t>Radar Jammer Vehicle</t>
  </si>
  <si>
    <t>vehicle_t2_jammer</t>
  </si>
  <si>
    <t>armjamt</t>
  </si>
  <si>
    <t>Sneaky Pete</t>
  </si>
  <si>
    <t>Cloakable Jammer Tower</t>
  </si>
  <si>
    <t>cloak, jammer</t>
  </si>
  <si>
    <t>armjanus</t>
  </si>
  <si>
    <t>Janus</t>
  </si>
  <si>
    <t>Twin Medium Rocket Launcher</t>
  </si>
  <si>
    <t>armjanus_1.2</t>
  </si>
  <si>
    <t>2x MissileLauncher</t>
  </si>
  <si>
    <t>armjeth</t>
  </si>
  <si>
    <t>Crossbow</t>
  </si>
  <si>
    <t>Amphibious Anti-air Bot</t>
  </si>
  <si>
    <t>bot_amph_aa</t>
  </si>
  <si>
    <t>armjuno</t>
  </si>
  <si>
    <t>Juno</t>
  </si>
  <si>
    <t>Anti Radar / Jammer / Minefield / ScoutSpam Weapon</t>
  </si>
  <si>
    <t>juno</t>
  </si>
  <si>
    <t>armkam</t>
  </si>
  <si>
    <t>Banshee</t>
  </si>
  <si>
    <t>Light Gunship</t>
  </si>
  <si>
    <t>air_hover</t>
  </si>
  <si>
    <t>armkraken</t>
  </si>
  <si>
    <t>Gorgon</t>
  </si>
  <si>
    <t>Floating Rapid-fire Plasma Tower</t>
  </si>
  <si>
    <t>def_t2_cannon</t>
  </si>
  <si>
    <t>armlab</t>
  </si>
  <si>
    <t>Bot Lab</t>
  </si>
  <si>
    <t>Produces Tech 1 Bots</t>
  </si>
  <si>
    <t>factory_bot</t>
  </si>
  <si>
    <t>armck, armpw, armrectr, armrock, armham, armjeth, armwar, armflea</t>
  </si>
  <si>
    <t>armlance</t>
  </si>
  <si>
    <t>Cormorant</t>
  </si>
  <si>
    <t>Torpedo Bomber</t>
  </si>
  <si>
    <t>air_t2_torpbomber</t>
  </si>
  <si>
    <t>armlatnk</t>
  </si>
  <si>
    <t>Jaguar</t>
  </si>
  <si>
    <t>Lightning Tank</t>
  </si>
  <si>
    <t>armlatnk_1.3</t>
  </si>
  <si>
    <t>MissileLauncher, LightningCannon</t>
  </si>
  <si>
    <t>armliche</t>
  </si>
  <si>
    <t>Liche</t>
  </si>
  <si>
    <t>Atomic Bomber</t>
  </si>
  <si>
    <t>air_liche</t>
  </si>
  <si>
    <t>armllt</t>
  </si>
  <si>
    <t>Sentry</t>
  </si>
  <si>
    <t>Light Laser Tower</t>
  </si>
  <si>
    <t>defence_0_laser</t>
  </si>
  <si>
    <t>armlship</t>
  </si>
  <si>
    <t>Fast Raider/Skirmisher</t>
  </si>
  <si>
    <t>ship_t2_lightning</t>
  </si>
  <si>
    <t>armlun</t>
  </si>
  <si>
    <t>Lunkhead</t>
  </si>
  <si>
    <t>Heavy Hovertank</t>
  </si>
  <si>
    <t>armlun_1.8</t>
  </si>
  <si>
    <t>Cannon, TorpedoLauncher</t>
  </si>
  <si>
    <t>All-Terrain Heavy Plasma Cannon</t>
  </si>
  <si>
    <t>armmakr</t>
  </si>
  <si>
    <t>Energy Converter</t>
  </si>
  <si>
    <t>Converts 70 energy into 1 metal per sec</t>
  </si>
  <si>
    <t>armmanni</t>
  </si>
  <si>
    <t>Starlight</t>
  </si>
  <si>
    <t>Mobile Tachyon Weapon</t>
  </si>
  <si>
    <t>armmanni_1.55</t>
  </si>
  <si>
    <t>armmar</t>
  </si>
  <si>
    <t>Marauder</t>
  </si>
  <si>
    <t>Amphibious Assault Mech</t>
  </si>
  <si>
    <t>armmar_t3</t>
  </si>
  <si>
    <t>armmark</t>
  </si>
  <si>
    <t>Compass</t>
  </si>
  <si>
    <t>Radar Bot</t>
  </si>
  <si>
    <t>bot_t2_radar</t>
  </si>
  <si>
    <t>armmart</t>
  </si>
  <si>
    <t>Mauser</t>
  </si>
  <si>
    <t>Mobile Artillery</t>
  </si>
  <si>
    <t>vehicle_arty_t2</t>
  </si>
  <si>
    <t>armmav</t>
  </si>
  <si>
    <t>Gunslinger</t>
  </si>
  <si>
    <t>Skirmish Bot. Auto-Repair. Range increases with experience</t>
  </si>
  <si>
    <t>bot_t2_impulse2x</t>
  </si>
  <si>
    <t>armmercury</t>
  </si>
  <si>
    <t>Mercury</t>
  </si>
  <si>
    <t>Long Range Anti-Air Tower</t>
  </si>
  <si>
    <t>aa_longrange_t2</t>
  </si>
  <si>
    <t>armmerl</t>
  </si>
  <si>
    <t>Ambassador</t>
  </si>
  <si>
    <t>Stealthy Rocket Launcher - good vs. static defense</t>
  </si>
  <si>
    <t>vehicle_t2_vroc</t>
  </si>
  <si>
    <t>armmex</t>
  </si>
  <si>
    <t>Metal Extractor</t>
  </si>
  <si>
    <t>Extracts Metal from Metalspots</t>
  </si>
  <si>
    <t>mex_t1</t>
  </si>
  <si>
    <t>armmh</t>
  </si>
  <si>
    <t>Possum</t>
  </si>
  <si>
    <t>Hovercraft Rocket Launcher</t>
  </si>
  <si>
    <t>hover_t1_missile</t>
  </si>
  <si>
    <t>armmine1</t>
  </si>
  <si>
    <t>Light Mine</t>
  </si>
  <si>
    <t>armmine2</t>
  </si>
  <si>
    <t>Medium Mine</t>
  </si>
  <si>
    <t>armmine3</t>
  </si>
  <si>
    <t>armmls</t>
  </si>
  <si>
    <t>Voyager</t>
  </si>
  <si>
    <t>Naval Engineer</t>
  </si>
  <si>
    <t>shipengineer</t>
  </si>
  <si>
    <t>armmlv</t>
  </si>
  <si>
    <t>Groundhog</t>
  </si>
  <si>
    <t>Stealthy Minelayer / Minesweeper</t>
  </si>
  <si>
    <t>armmlv_1.0</t>
  </si>
  <si>
    <t>armmine1, armmine2, armmine3, armdrag, armeyes</t>
  </si>
  <si>
    <t>armmmkr</t>
  </si>
  <si>
    <t>Advanced Energy Converter</t>
  </si>
  <si>
    <t>Converts 600 energy into 10.3 metal per sec</t>
  </si>
  <si>
    <t>metalmaker_t2</t>
  </si>
  <si>
    <t>armmoho</t>
  </si>
  <si>
    <t>Advanced Metal Extractor</t>
  </si>
  <si>
    <t>Advanced Metal Extractor / Storage</t>
  </si>
  <si>
    <t>mex_t2</t>
  </si>
  <si>
    <t>armmship</t>
  </si>
  <si>
    <t>Longbow</t>
  </si>
  <si>
    <t>Missile Cruiser</t>
  </si>
  <si>
    <t>ship_t2_missile</t>
  </si>
  <si>
    <t>armmstor</t>
  </si>
  <si>
    <t>Metal Storage</t>
  </si>
  <si>
    <t>Increases Metal Storage (3000)</t>
  </si>
  <si>
    <t>metalstorage</t>
  </si>
  <si>
    <t>armnanotc</t>
  </si>
  <si>
    <t>Construction Turret</t>
  </si>
  <si>
    <t>Assist &amp; Repair in large radius</t>
  </si>
  <si>
    <t>nanot1</t>
  </si>
  <si>
    <t>armnanotcplat</t>
  </si>
  <si>
    <t>Naval Construction Turret</t>
  </si>
  <si>
    <t>armpb</t>
  </si>
  <si>
    <t>Pit Bull</t>
  </si>
  <si>
    <t>Pop-up Gauss Cannon</t>
  </si>
  <si>
    <t>def_t2_impulse</t>
  </si>
  <si>
    <t>armpeep</t>
  </si>
  <si>
    <t>Blink</t>
  </si>
  <si>
    <t>Scout</t>
  </si>
  <si>
    <t>air_los</t>
  </si>
  <si>
    <t>armpincer</t>
  </si>
  <si>
    <t>Pincer</t>
  </si>
  <si>
    <t>Light Amphibious Tank</t>
  </si>
  <si>
    <t>amphib_tank</t>
  </si>
  <si>
    <t>armplat</t>
  </si>
  <si>
    <t>Seaplane Platform</t>
  </si>
  <si>
    <t>Builds Seaplanes</t>
  </si>
  <si>
    <t>factory_air_sea</t>
  </si>
  <si>
    <t>armcsa, armsaber, armsb, armseap, armsfig, armsehak</t>
  </si>
  <si>
    <t>armpnix</t>
  </si>
  <si>
    <t>Blizzard</t>
  </si>
  <si>
    <t>Strategic Bomber</t>
  </si>
  <si>
    <t>air_t2_bomber</t>
  </si>
  <si>
    <t>AircraftBomb</t>
  </si>
  <si>
    <t>armpship</t>
  </si>
  <si>
    <t>Ellysaw</t>
  </si>
  <si>
    <t>Assault Frigate</t>
  </si>
  <si>
    <t>ship_pship</t>
  </si>
  <si>
    <t>2x BeamLaser</t>
  </si>
  <si>
    <t>armpt</t>
  </si>
  <si>
    <t>Skater</t>
  </si>
  <si>
    <t>Stealthy Patrol Boat / Light Anti Air / Sonar</t>
  </si>
  <si>
    <t>stealth, radar</t>
  </si>
  <si>
    <t>Harpoon</t>
  </si>
  <si>
    <t>armpw</t>
  </si>
  <si>
    <t>Pawn</t>
  </si>
  <si>
    <t>Fast Infantry Bot</t>
  </si>
  <si>
    <t>bot_t1_raid_0.7</t>
  </si>
  <si>
    <t>armrad</t>
  </si>
  <si>
    <t>Radar Tower</t>
  </si>
  <si>
    <t>armraz</t>
  </si>
  <si>
    <t>Razorback</t>
  </si>
  <si>
    <t>armraz_1.75</t>
  </si>
  <si>
    <t>armrecl</t>
  </si>
  <si>
    <t>Grim Reaper</t>
  </si>
  <si>
    <t>Resurrection Sub</t>
  </si>
  <si>
    <t>sub_rez</t>
  </si>
  <si>
    <t>resurrector</t>
  </si>
  <si>
    <t>armrectr</t>
  </si>
  <si>
    <t>Lazarus</t>
  </si>
  <si>
    <t>Stealthy Rez / Repair / Reclaim Bot</t>
  </si>
  <si>
    <t>bot_t1_rez</t>
  </si>
  <si>
    <t>stealth, resurrector</t>
  </si>
  <si>
    <t>armrl</t>
  </si>
  <si>
    <t>Nettle</t>
  </si>
  <si>
    <t>Light Anti-air Tower</t>
  </si>
  <si>
    <t>armrock</t>
  </si>
  <si>
    <t>Rocketeer</t>
  </si>
  <si>
    <t>Rocket Bot - good vs. static defenses</t>
  </si>
  <si>
    <t>bot_rocket</t>
  </si>
  <si>
    <t>armroy</t>
  </si>
  <si>
    <t>Corsair</t>
  </si>
  <si>
    <t>Destroyer</t>
  </si>
  <si>
    <t>ship_destroyer</t>
  </si>
  <si>
    <t>armsaber</t>
  </si>
  <si>
    <t>Sabre</t>
  </si>
  <si>
    <t>Seaplane Gunship</t>
  </si>
  <si>
    <t>air_t1_hover_sea</t>
  </si>
  <si>
    <t>armsam</t>
  </si>
  <si>
    <t>Whistler</t>
  </si>
  <si>
    <t>Missile Truck</t>
  </si>
  <si>
    <t>vehicle_t1_missile</t>
  </si>
  <si>
    <t>armsb</t>
  </si>
  <si>
    <t>Tsunami</t>
  </si>
  <si>
    <t>Seaplane Bomber</t>
  </si>
  <si>
    <t>air_bomber_sea</t>
  </si>
  <si>
    <t>armscab</t>
  </si>
  <si>
    <t>Umbrella</t>
  </si>
  <si>
    <t>Mobile Anti-Nuke</t>
  </si>
  <si>
    <t>antinukemobile</t>
  </si>
  <si>
    <t>armsd</t>
  </si>
  <si>
    <t>Tracer</t>
  </si>
  <si>
    <t>Intrusion Countermeasure System - tracks down stealthy units</t>
  </si>
  <si>
    <t>seismic</t>
  </si>
  <si>
    <t>stealth-detector</t>
  </si>
  <si>
    <t>armseap</t>
  </si>
  <si>
    <t>Puffin</t>
  </si>
  <si>
    <t>Torpedo Gunship</t>
  </si>
  <si>
    <t>air_torp_sea</t>
  </si>
  <si>
    <t>armseer</t>
  </si>
  <si>
    <t>Prophet</t>
  </si>
  <si>
    <t>Radar Vehicle</t>
  </si>
  <si>
    <t>vehicle_t2_radar</t>
  </si>
  <si>
    <t>armsehak</t>
  </si>
  <si>
    <t>Horizon</t>
  </si>
  <si>
    <t>Advanced Radar / Sonar Plane</t>
  </si>
  <si>
    <t>air_los_sea</t>
  </si>
  <si>
    <t>armserp</t>
  </si>
  <si>
    <t>Serpent</t>
  </si>
  <si>
    <t>Long-Range Battle Submarine</t>
  </si>
  <si>
    <t>battlesub_t2</t>
  </si>
  <si>
    <t>armsfig</t>
  </si>
  <si>
    <t>Cyclone</t>
  </si>
  <si>
    <t>Seaplane Swarmer</t>
  </si>
  <si>
    <t>air_sea</t>
  </si>
  <si>
    <t>armsh</t>
  </si>
  <si>
    <t>Seeker</t>
  </si>
  <si>
    <t>Fast Attack Hovercraft</t>
  </si>
  <si>
    <t>hover_raid</t>
  </si>
  <si>
    <t>armshltx</t>
  </si>
  <si>
    <t>Experimental Gantry</t>
  </si>
  <si>
    <t>Produces Experimental Units</t>
  </si>
  <si>
    <t>factory_gantry</t>
  </si>
  <si>
    <t>armbanth, armraz, armmar, armvang, armlun, armthor</t>
  </si>
  <si>
    <t>armshltxuw</t>
  </si>
  <si>
    <t>Produces Large Amphibious Units</t>
  </si>
  <si>
    <t>factory_gantry_uw</t>
  </si>
  <si>
    <t>armbanth, armmar, armcroc, armlun</t>
  </si>
  <si>
    <t>armsilo</t>
  </si>
  <si>
    <t>Armageddon</t>
  </si>
  <si>
    <t>Nuclear ICBM Launcher</t>
  </si>
  <si>
    <t>nuke</t>
  </si>
  <si>
    <t>StarburstLauncher, Cannon</t>
  </si>
  <si>
    <t>armsjam</t>
  </si>
  <si>
    <t>Bermuda</t>
  </si>
  <si>
    <t>Radar Jammer Ship</t>
  </si>
  <si>
    <t>ship_t2_jammer</t>
  </si>
  <si>
    <t>armsnipe</t>
  </si>
  <si>
    <t>Sharpshooter</t>
  </si>
  <si>
    <t>Sniper Bot</t>
  </si>
  <si>
    <t>armsnipe_1.3</t>
  </si>
  <si>
    <t>armsolar</t>
  </si>
  <si>
    <t>Solar Collector</t>
  </si>
  <si>
    <t>Produces 20 Energy</t>
  </si>
  <si>
    <t>energy1_1.0</t>
  </si>
  <si>
    <t>armspid</t>
  </si>
  <si>
    <t>Webber</t>
  </si>
  <si>
    <t>All-Terrain EMP and Reclaiming Spider</t>
  </si>
  <si>
    <t>allterrain_emp</t>
  </si>
  <si>
    <t>armsptk</t>
  </si>
  <si>
    <t>Recluse</t>
  </si>
  <si>
    <t>All-Terrain Rocket Spider</t>
  </si>
  <si>
    <t>armsptk_1.44</t>
  </si>
  <si>
    <t>armspy</t>
  </si>
  <si>
    <t>Ghost</t>
  </si>
  <si>
    <t>Radar-Invisible Spy Bot</t>
  </si>
  <si>
    <t>spy</t>
  </si>
  <si>
    <t>armstil</t>
  </si>
  <si>
    <t>Stiletto</t>
  </si>
  <si>
    <t>EMP Bomber</t>
  </si>
  <si>
    <t>armstil_1.66</t>
  </si>
  <si>
    <t>EMP-AircraftBomb</t>
  </si>
  <si>
    <t>armstump</t>
  </si>
  <si>
    <t>Stout</t>
  </si>
  <si>
    <t>Medium Assault Tank</t>
  </si>
  <si>
    <t>vehicle_t1_tank</t>
  </si>
  <si>
    <t>armsub</t>
  </si>
  <si>
    <t>Eel</t>
  </si>
  <si>
    <t>Submarine</t>
  </si>
  <si>
    <t>armsubk</t>
  </si>
  <si>
    <t>Barracuda</t>
  </si>
  <si>
    <t>Fast Assault Submarine</t>
  </si>
  <si>
    <t>sub_t2</t>
  </si>
  <si>
    <t>armsy</t>
  </si>
  <si>
    <t>Shipyard</t>
  </si>
  <si>
    <t>Produces Tech 1 Ships</t>
  </si>
  <si>
    <t>factory_ship</t>
  </si>
  <si>
    <t>armcs, armrecl, armdecade, armpt, armpship, armroy, armsub</t>
  </si>
  <si>
    <t>armtarg</t>
  </si>
  <si>
    <t>Pinpointer</t>
  </si>
  <si>
    <t>Enhanced Radar Targeting, more facilities enhance accuracy</t>
  </si>
  <si>
    <t>armthor</t>
  </si>
  <si>
    <t>Thor</t>
  </si>
  <si>
    <t>Experimental Terminator Tank</t>
  </si>
  <si>
    <t>LightningCannon, EMP-StarburstLauncher, 2x EMP-BeamLaser</t>
  </si>
  <si>
    <t>armthund</t>
  </si>
  <si>
    <t>Stormbringer</t>
  </si>
  <si>
    <t>Bomber</t>
  </si>
  <si>
    <t>air_bomber</t>
  </si>
  <si>
    <t>armtide</t>
  </si>
  <si>
    <t>Tidal Generator</t>
  </si>
  <si>
    <t>Produces Energy (depends on map)</t>
  </si>
  <si>
    <t>armtl</t>
  </si>
  <si>
    <t>Offshore Torpedo Launcher</t>
  </si>
  <si>
    <t>armuwadves</t>
  </si>
  <si>
    <t>Hardened Energy Storage</t>
  </si>
  <si>
    <t>Increases Energy Storage (40000)</t>
  </si>
  <si>
    <t>energystorage_t2</t>
  </si>
  <si>
    <t>armuwadvms</t>
  </si>
  <si>
    <t>Hardened Metal Storage</t>
  </si>
  <si>
    <t>Increases Metal Storage (10000)</t>
  </si>
  <si>
    <t>metalstorage_t2</t>
  </si>
  <si>
    <t>armuwageo</t>
  </si>
  <si>
    <t>armuwes</t>
  </si>
  <si>
    <t>Naval Energy Storage</t>
  </si>
  <si>
    <t>armuwfus</t>
  </si>
  <si>
    <t>Naval Fusion Reactor</t>
  </si>
  <si>
    <t>Produces 1200 Energy</t>
  </si>
  <si>
    <t>armuwgeo</t>
  </si>
  <si>
    <t>armuwmme</t>
  </si>
  <si>
    <t>Naval Advanced Metal Extractor</t>
  </si>
  <si>
    <t>armuwmmm</t>
  </si>
  <si>
    <t>Naval Advanced Energy Converter</t>
  </si>
  <si>
    <t>armuwms</t>
  </si>
  <si>
    <t>Naval Metal Storage</t>
  </si>
  <si>
    <t>armvader</t>
  </si>
  <si>
    <t>Tumbleweed</t>
  </si>
  <si>
    <t>Amphibious Rolling Bomb</t>
  </si>
  <si>
    <t>armvader_0.9</t>
  </si>
  <si>
    <t>Melee, Cannon</t>
  </si>
  <si>
    <t>armvang</t>
  </si>
  <si>
    <t>Vanguard</t>
  </si>
  <si>
    <t>allterrain_t3_arty</t>
  </si>
  <si>
    <t>armveil</t>
  </si>
  <si>
    <t>Veil</t>
  </si>
  <si>
    <t>Long-Range Jamming Tower</t>
  </si>
  <si>
    <t>jammer_t2</t>
  </si>
  <si>
    <t>armvp</t>
  </si>
  <si>
    <t>Vehicle Plant</t>
  </si>
  <si>
    <t>Produces Tech 1 Vehicles</t>
  </si>
  <si>
    <t>factory_vehicle</t>
  </si>
  <si>
    <t>armcv, armbeaver, armmlv, armfav, armflash, armpincer, armstump, armart, armjanus, armsam</t>
  </si>
  <si>
    <t>armvulc</t>
  </si>
  <si>
    <t>Ragnarok</t>
  </si>
  <si>
    <t>Rapid-Fire Long-Range Plasma Cannon</t>
  </si>
  <si>
    <t>armwar</t>
  </si>
  <si>
    <t>Centurion</t>
  </si>
  <si>
    <t>Anti-Swarm Bot</t>
  </si>
  <si>
    <t>armwar_1.15</t>
  </si>
  <si>
    <t>armwin</t>
  </si>
  <si>
    <t>Wind Turbine</t>
  </si>
  <si>
    <t>Produces Energy. Depends on wind strength.</t>
  </si>
  <si>
    <t>wind</t>
  </si>
  <si>
    <t>armyork</t>
  </si>
  <si>
    <t>Shredder</t>
  </si>
  <si>
    <t>Anti-Air Flak Vehicle</t>
  </si>
  <si>
    <t>vehicle_t2_aa_flak</t>
  </si>
  <si>
    <t>armzeus</t>
  </si>
  <si>
    <t>Welder</t>
  </si>
  <si>
    <t>Assault Bot</t>
  </si>
  <si>
    <t>armzeus_1.28</t>
  </si>
  <si>
    <t>coraak</t>
  </si>
  <si>
    <t>CORE</t>
  </si>
  <si>
    <t>Manticore</t>
  </si>
  <si>
    <t>Heavy Amphibious Anti-Air Bot</t>
  </si>
  <si>
    <t>Cannon, 4x MissileLauncher</t>
  </si>
  <si>
    <t>coraap</t>
  </si>
  <si>
    <t>coraca, corape, corhurc, cortitan, corvamp, corawac, corseah, corcrwh</t>
  </si>
  <si>
    <t>coraca</t>
  </si>
  <si>
    <t>corfus, corafus, corageo, coruwageo, corbhmth, cormoho, cormexp, cormmkr, coruwadves, coruwadvms, corarad, corshroud, corfort, corasp, corfasp, cortarg, corsd, corgate, cortoast, corvipe, cordoom, corflak, corscreamer, cortron, corfmd, corsilo, corint, corbuzz, corap, coraap, corplat, corgant</t>
  </si>
  <si>
    <t>corack</t>
  </si>
  <si>
    <t>coracsub</t>
  </si>
  <si>
    <t>coruwfus, coruwmmm, coruwmme, coruwadves, coruwadvms, corgantuw, corasy, corsy, corason, corfatf, coratl, corenaa, corfdoom, coruwageo, corfasp</t>
  </si>
  <si>
    <t>coracv</t>
  </si>
  <si>
    <t>corfus, corafus, corageo, corbhmth, cormoho, cormexp, cormmkr, coruwadves, coruwadvms, corarad, corshroud, corfort, corasp, cortarg, corsd, corgate, cortoast, corvipe, cordoom, corflak, corscreamer, cortron, corfmd, corsilo, corint, corbuzz, corvp, coravp, corgant</t>
  </si>
  <si>
    <t>coradvsol</t>
  </si>
  <si>
    <t>corafus</t>
  </si>
  <si>
    <t>corageo</t>
  </si>
  <si>
    <t>corah</t>
  </si>
  <si>
    <t>Birdeater</t>
  </si>
  <si>
    <t>corak</t>
  </si>
  <si>
    <t>Grunt</t>
  </si>
  <si>
    <t>coralab</t>
  </si>
  <si>
    <t>corack, corfast, corpyro, coramph, corcan, corsumo, cortermite, cormort, corhrk, coraak, corroach, corsktl, cordecom, corvoyr, corspy, corspec, cormando</t>
  </si>
  <si>
    <t>coramph</t>
  </si>
  <si>
    <t>Duck</t>
  </si>
  <si>
    <t>amph_torp</t>
  </si>
  <si>
    <t>TorpedoLauncher, BeamLaser</t>
  </si>
  <si>
    <t>coramsub</t>
  </si>
  <si>
    <t>cormuskrat, corgarp, corsala, corparrow, corcrash, coraak, cordecom</t>
  </si>
  <si>
    <t>corantiship</t>
  </si>
  <si>
    <t>corap</t>
  </si>
  <si>
    <t>corape</t>
  </si>
  <si>
    <t>Wasp</t>
  </si>
  <si>
    <t>corarad</t>
  </si>
  <si>
    <t>corarch</t>
  </si>
  <si>
    <t>Arrow Storm</t>
  </si>
  <si>
    <t>corason</t>
  </si>
  <si>
    <t>corasp</t>
  </si>
  <si>
    <t>corasp_2.4</t>
  </si>
  <si>
    <t>corasy</t>
  </si>
  <si>
    <t>coracsub, cormls, corcrus, corshark, corssub, corarch, corsjam, corantiship, corbats, cormship, corblackhy, corfship</t>
  </si>
  <si>
    <t>coratl</t>
  </si>
  <si>
    <t>Lamprey</t>
  </si>
  <si>
    <t>coravp</t>
  </si>
  <si>
    <t>coracv, corsala, correap, corparrow, corgol, corban, cormart, corvroc, cortrem, corsent, cormabm, coreter, corvrad</t>
  </si>
  <si>
    <t>corawac</t>
  </si>
  <si>
    <t>Condor</t>
  </si>
  <si>
    <t>corban</t>
  </si>
  <si>
    <t>Banisher</t>
  </si>
  <si>
    <t>Heavy Missile Tank</t>
  </si>
  <si>
    <t>corban_1.6</t>
  </si>
  <si>
    <t>corbats</t>
  </si>
  <si>
    <t>Despot</t>
  </si>
  <si>
    <t>3x Cannon, BeamLaser</t>
  </si>
  <si>
    <t>corbhmth</t>
  </si>
  <si>
    <t>Cerberus</t>
  </si>
  <si>
    <t>Geothermal Plasma Battery</t>
  </si>
  <si>
    <t>3x Cannon</t>
  </si>
  <si>
    <t>corblackhy</t>
  </si>
  <si>
    <t>Black Hydra</t>
  </si>
  <si>
    <t>2x MissileLauncher, 3x BeamLaser, Cannon</t>
  </si>
  <si>
    <t>corbuzz</t>
  </si>
  <si>
    <t>Calamity</t>
  </si>
  <si>
    <t>corbw</t>
  </si>
  <si>
    <t>Shuriken</t>
  </si>
  <si>
    <t>Light Paralyzer Drone</t>
  </si>
  <si>
    <t>air_bladew</t>
  </si>
  <si>
    <t>corca</t>
  </si>
  <si>
    <t>corsolar, coradvsol, corwin, corgeo, cormstor, corestor, cormex, corexp, cormakr, corasp, coraap, corlab, corvp, corap, corhp, cornanotc, coreyes, corrad, cordrag, cormaw, corllt, corhllt, corhlt, corpun, corrl, cormadsam, corerad, cordl, corjamt, corjuno, corsy, coruwgeo, corfasp</t>
  </si>
  <si>
    <t>corcan</t>
  </si>
  <si>
    <t>Sumo</t>
  </si>
  <si>
    <t>Armored Assault Bot</t>
  </si>
  <si>
    <t>corcat</t>
  </si>
  <si>
    <t>Catapult</t>
  </si>
  <si>
    <t>Heavy Rocket Bot</t>
  </si>
  <si>
    <t>corcat_1.9</t>
  </si>
  <si>
    <t>corch</t>
  </si>
  <si>
    <t>corsolar, coradvsol, corwin, corgeo, cormstor, corestor, cormex, corexp, cormakr, corlab, corvp, corap, corhp, cornanotc, cornanotcplat, coreyes, corrad, cordrag, cormaw, corllt, corhllt, corhlt, corpun, corrl, cormadsam, corerad, cordl, corjamt, corjuno, corfhp, corsy, coramsub, corplat, cortide, corfmkr, coruwms, coruwes, corfdrag, corfrad, corfhlt, corfrt, cortl, coravp, corasy, coruwgeo</t>
  </si>
  <si>
    <t>corck</t>
  </si>
  <si>
    <t>corsolar, coradvsol, corwin, corgeo, cormstor, corestor, cormex, corexp, cormakr, coralab, corlab, corvp, corap, corhp, cornanotc, coreyes, corrad, cordrag, cormaw, corllt, corhllt, corhlt, corpun, corrl, cormadsam, corerad, cordl, corjamt, corjuno, corsy</t>
  </si>
  <si>
    <t>corcom</t>
  </si>
  <si>
    <t>Cortex Commander</t>
  </si>
  <si>
    <t>corsolar, corwin, cormstor, corestor, cormex, cormakr, corlab, corvp, corap, coreyes, corrad, cordrag, corllt, corrl, cordl, cortide, coruwms, coruwes, corfmkr, corsy, corfdrag, cortl, corfrt, corfrad, corhp, corfhp</t>
  </si>
  <si>
    <t>/corcom.lua</t>
  </si>
  <si>
    <t>corcrash</t>
  </si>
  <si>
    <t>Trasher</t>
  </si>
  <si>
    <t>corcrus</t>
  </si>
  <si>
    <t>Buccaneer</t>
  </si>
  <si>
    <t>ship_t2_cruiser</t>
  </si>
  <si>
    <t>2x BeamLaser, TorpedoLauncher</t>
  </si>
  <si>
    <t>Dragon</t>
  </si>
  <si>
    <t>Flying Fortress</t>
  </si>
  <si>
    <t>air_krow</t>
  </si>
  <si>
    <t>3x BeamLaser</t>
  </si>
  <si>
    <t>corcrwh</t>
  </si>
  <si>
    <t>Flame, 4x BeamLaser, MissileLauncher</t>
  </si>
  <si>
    <t>corcs</t>
  </si>
  <si>
    <t>cormex, corvp, corap, corlab, coreyes, cordl, cordrag, cormaw, corpun, cortide, corgeo, coruwgeo, corfmkr, coruwms, coruwes, corsy, corasy, cornanotcplat, corfhp, coramsub, corplat, corfrad, corfdrag, cortl, corfrt, corfhlt</t>
  </si>
  <si>
    <t>corcsa</t>
  </si>
  <si>
    <t>corsolar, coradvsol, corwin, corgeo, cormstor, corestor, cormex, corexp, cormakr, corlab, corvp, corap, corhp, cornanotc, cornanotcplat, coreyes, corrad, cordrag, cormaw, corllt, corhllt, corhlt, corpun, corrl, cormadsam, corerad, cordl, corjamt, corjuno, corfhp, corsy, coramsub, corplat, cortide, corfmkr, coruwms, coruwes, corfdrag, corfrad, corfhlt, corfrt, cortl, coruwgeo, corasp, corfasp</t>
  </si>
  <si>
    <t>corcut</t>
  </si>
  <si>
    <t>Cutlass</t>
  </si>
  <si>
    <t>air_t1_hover_sea_cannon</t>
  </si>
  <si>
    <t>corcv</t>
  </si>
  <si>
    <t>corsolar, coradvsol, corwin, corgeo, cormstor, corestor, cormex, corexp, cormakr, coravp, corlab, corvp, corap, corhp, cornanotc, coreyes, corrad, cordrag, cormaw, corllt, corhllt, corhlt, corpun, corrl, cormadsam, corerad, cordl, corjamt, corjuno, corsy</t>
  </si>
  <si>
    <t>cordecom</t>
  </si>
  <si>
    <t>cormine1, cormine2, cormine3, corsolar, corwin, cormstor, corestor, cormex, cormakr, corrad, corllt, corrl, cortide, coruwms, coruwes, corfmkr</t>
  </si>
  <si>
    <t>cordemon</t>
  </si>
  <si>
    <t>Demon</t>
  </si>
  <si>
    <t>Flamethrower Mech</t>
  </si>
  <si>
    <t>MissileLauncher, Flame</t>
  </si>
  <si>
    <t>cordl</t>
  </si>
  <si>
    <t>Jellyfish</t>
  </si>
  <si>
    <t>cordoom</t>
  </si>
  <si>
    <t>Bulwark</t>
  </si>
  <si>
    <t>Energy Weapon</t>
  </si>
  <si>
    <t>cordrag</t>
  </si>
  <si>
    <t>corenaa</t>
  </si>
  <si>
    <t>Naval Birdshot</t>
  </si>
  <si>
    <t>corerad</t>
  </si>
  <si>
    <t>Eradicator</t>
  </si>
  <si>
    <t>corestor</t>
  </si>
  <si>
    <t>coresupp</t>
  </si>
  <si>
    <t>Supporter</t>
  </si>
  <si>
    <t>Light Gun Boat</t>
  </si>
  <si>
    <t>coreter</t>
  </si>
  <si>
    <t>Obscurer</t>
  </si>
  <si>
    <t>corexp</t>
  </si>
  <si>
    <t>Exploiter</t>
  </si>
  <si>
    <t>Armed Metal Extractor</t>
  </si>
  <si>
    <t>mex_t1_laser</t>
  </si>
  <si>
    <t>coreyes</t>
  </si>
  <si>
    <t>corfasp</t>
  </si>
  <si>
    <t>corfast</t>
  </si>
  <si>
    <t>Twitcher</t>
  </si>
  <si>
    <t>corfast_1.3</t>
  </si>
  <si>
    <t>corsolar, cormex, corlab, cornanotc, coreyes, corshroud, corfort, corarad, cormine2, cordl, corhllt, cortoast, cormadsam, corflak, corck, corak, corcrash, cormando, corpyro, coramph, corcs, corroy, cortermite</t>
  </si>
  <si>
    <t>corfatf</t>
  </si>
  <si>
    <t>corfav</t>
  </si>
  <si>
    <t>Rascal</t>
  </si>
  <si>
    <t>corfdoom</t>
  </si>
  <si>
    <t>Devastator</t>
  </si>
  <si>
    <t>Floating Multi-Weapon Platform</t>
  </si>
  <si>
    <t>Cannon, 2x BeamLaser</t>
  </si>
  <si>
    <t>corfdrag</t>
  </si>
  <si>
    <t>corfhlt</t>
  </si>
  <si>
    <t>Coral</t>
  </si>
  <si>
    <t>corfhp</t>
  </si>
  <si>
    <t>corch, corsh, corsnap, corah, cormh, corhal</t>
  </si>
  <si>
    <t>corfink</t>
  </si>
  <si>
    <t>Finch</t>
  </si>
  <si>
    <t>corflak</t>
  </si>
  <si>
    <t>Birdshot</t>
  </si>
  <si>
    <t>corfmd</t>
  </si>
  <si>
    <t>Prevailer</t>
  </si>
  <si>
    <t>corfmine3</t>
  </si>
  <si>
    <t>corfmkr</t>
  </si>
  <si>
    <t>Flame</t>
  </si>
  <si>
    <t>corfort</t>
  </si>
  <si>
    <t>corfrad</t>
  </si>
  <si>
    <t>corfrt</t>
  </si>
  <si>
    <t>Slingshot</t>
  </si>
  <si>
    <t>corfship</t>
  </si>
  <si>
    <t>Anti-Swarm Ship</t>
  </si>
  <si>
    <t>ship_t2_flame</t>
  </si>
  <si>
    <t>corfus</t>
  </si>
  <si>
    <t>Produces 1100 Energy</t>
  </si>
  <si>
    <t>corgant</t>
  </si>
  <si>
    <t>corkorg, corkarg, corjugg, corshiva, corcat, corsok, cordemon</t>
  </si>
  <si>
    <t>corgantuw</t>
  </si>
  <si>
    <t>corkorg, corshiva, corsala, corparrow, corsok</t>
  </si>
  <si>
    <t>corgarp</t>
  </si>
  <si>
    <t>Garpike</t>
  </si>
  <si>
    <t>corgate</t>
  </si>
  <si>
    <t>Overseer</t>
  </si>
  <si>
    <t>corgator</t>
  </si>
  <si>
    <t>Incisor</t>
  </si>
  <si>
    <t>Light Tank</t>
  </si>
  <si>
    <t>corgeo</t>
  </si>
  <si>
    <t>corgol</t>
  </si>
  <si>
    <t>Tzar</t>
  </si>
  <si>
    <t>Very Heavy Assault Tank</t>
  </si>
  <si>
    <t>vehicle_t2_plasma_aoe</t>
  </si>
  <si>
    <t>corhal</t>
  </si>
  <si>
    <t>Halberd</t>
  </si>
  <si>
    <t>Assault Hovertank</t>
  </si>
  <si>
    <t>corhllt</t>
  </si>
  <si>
    <t>Twin Guard</t>
  </si>
  <si>
    <t>Anti-Swarm Double Guard</t>
  </si>
  <si>
    <t>defence_hllt</t>
  </si>
  <si>
    <t>corhlt</t>
  </si>
  <si>
    <t>Warden</t>
  </si>
  <si>
    <t>corhp</t>
  </si>
  <si>
    <t>corhrk</t>
  </si>
  <si>
    <t>Arbiter</t>
  </si>
  <si>
    <t>bot_t2_vroc</t>
  </si>
  <si>
    <t>corhunt</t>
  </si>
  <si>
    <t>Watcher</t>
  </si>
  <si>
    <t>corhurc</t>
  </si>
  <si>
    <t>Hailstorm</t>
  </si>
  <si>
    <t>Heavy Strategic Bomber</t>
  </si>
  <si>
    <t>corint</t>
  </si>
  <si>
    <t>Basilisk</t>
  </si>
  <si>
    <t>corjamt</t>
  </si>
  <si>
    <t>Castro</t>
  </si>
  <si>
    <t>Short-Range Jamming Device</t>
  </si>
  <si>
    <t>corjugg</t>
  </si>
  <si>
    <t>Behemoth</t>
  </si>
  <si>
    <t>(barely) Mobile Heavy Turret</t>
  </si>
  <si>
    <t>juggernaut</t>
  </si>
  <si>
    <t>3x BeamLaser, DGun</t>
  </si>
  <si>
    <t>corjuno</t>
  </si>
  <si>
    <t>corkarg</t>
  </si>
  <si>
    <t>Karganeth</t>
  </si>
  <si>
    <t>All-Terrain Assault Mech</t>
  </si>
  <si>
    <t>corkarg_2.05</t>
  </si>
  <si>
    <t>corkorg</t>
  </si>
  <si>
    <t>Juggernaut</t>
  </si>
  <si>
    <t>Experimental Assault Bot</t>
  </si>
  <si>
    <t>mech</t>
  </si>
  <si>
    <t>StarburstLauncher, BeamLaser, 6x Cannon</t>
  </si>
  <si>
    <t>corlab</t>
  </si>
  <si>
    <t>corck, corak, cornecro, corstorm, corthud, corcrash</t>
  </si>
  <si>
    <t>corlevlr</t>
  </si>
  <si>
    <t>Pounder</t>
  </si>
  <si>
    <t>Anti-Swarm Tank</t>
  </si>
  <si>
    <t>vehicle_t1_impulse</t>
  </si>
  <si>
    <t>corllt</t>
  </si>
  <si>
    <t>Guard</t>
  </si>
  <si>
    <t>cormabm</t>
  </si>
  <si>
    <t>Saviour</t>
  </si>
  <si>
    <t>cormadsam</t>
  </si>
  <si>
    <t>SAM</t>
  </si>
  <si>
    <t>Hardened Anti-Air Missile Battery</t>
  </si>
  <si>
    <t>cormakr</t>
  </si>
  <si>
    <t>cormando</t>
  </si>
  <si>
    <t>Commando</t>
  </si>
  <si>
    <t>Stealthy Paratrooper Bot</t>
  </si>
  <si>
    <t>cormart</t>
  </si>
  <si>
    <t>Quaker</t>
  </si>
  <si>
    <t>cormaw</t>
  </si>
  <si>
    <t>Dragon's Maw</t>
  </si>
  <si>
    <t>Pop-up Flamethrower Turret</t>
  </si>
  <si>
    <t>cormex</t>
  </si>
  <si>
    <t>cormexp</t>
  </si>
  <si>
    <t>Advanced Exploiter</t>
  </si>
  <si>
    <t>Armed Advanced Metal Extractor</t>
  </si>
  <si>
    <t>cormh</t>
  </si>
  <si>
    <t>Mangonel</t>
  </si>
  <si>
    <t>cormine1</t>
  </si>
  <si>
    <t>cormine2</t>
  </si>
  <si>
    <t>cormine3</t>
  </si>
  <si>
    <t>cormist</t>
  </si>
  <si>
    <t>Lasher</t>
  </si>
  <si>
    <t>cormls</t>
  </si>
  <si>
    <t>Pathfinder</t>
  </si>
  <si>
    <t>cormlv</t>
  </si>
  <si>
    <t>Trapper</t>
  </si>
  <si>
    <t>cormlv_1.0</t>
  </si>
  <si>
    <t>cormine1, cormine2, cormine3, cordrag, coreyes</t>
  </si>
  <si>
    <t>cormmkr</t>
  </si>
  <si>
    <t>cormoho</t>
  </si>
  <si>
    <t>cormort</t>
  </si>
  <si>
    <t>Sheldon</t>
  </si>
  <si>
    <t>Mobile Mortar Bot</t>
  </si>
  <si>
    <t>cormship</t>
  </si>
  <si>
    <t>Messenger</t>
  </si>
  <si>
    <t>Cruise Missile Ship</t>
  </si>
  <si>
    <t>cormstor</t>
  </si>
  <si>
    <t>cormuskrat</t>
  </si>
  <si>
    <t>Muskrat</t>
  </si>
  <si>
    <t>cornanotc</t>
  </si>
  <si>
    <t>cornanotcplat</t>
  </si>
  <si>
    <t>cornecro</t>
  </si>
  <si>
    <t>Graverobber</t>
  </si>
  <si>
    <t>Stealthy Rez / Reclaim / Repair Bot</t>
  </si>
  <si>
    <t>corparrow</t>
  </si>
  <si>
    <t>Poison Arrow</t>
  </si>
  <si>
    <t>Very Heavy Amphibious Tank</t>
  </si>
  <si>
    <t>corplat</t>
  </si>
  <si>
    <t>corcsa, corcut, corsb, corseap, corsfig, corhunt</t>
  </si>
  <si>
    <t>corpship</t>
  </si>
  <si>
    <t>Riptide</t>
  </si>
  <si>
    <t>corpt</t>
  </si>
  <si>
    <t>Herring</t>
  </si>
  <si>
    <t>Missile Corvette / Light Anti Air / Sonar</t>
  </si>
  <si>
    <t>Urchin</t>
  </si>
  <si>
    <t>corpun</t>
  </si>
  <si>
    <t>Agitator</t>
  </si>
  <si>
    <t>corpyro</t>
  </si>
  <si>
    <t>Fiend</t>
  </si>
  <si>
    <t>Fast Assault Bot</t>
  </si>
  <si>
    <t>corpyro_1.15</t>
  </si>
  <si>
    <t>corrad</t>
  </si>
  <si>
    <t>corraid</t>
  </si>
  <si>
    <t>Brute</t>
  </si>
  <si>
    <t>correap</t>
  </si>
  <si>
    <t>Tiger</t>
  </si>
  <si>
    <t>correcl</t>
  </si>
  <si>
    <t>Death Cavalry</t>
  </si>
  <si>
    <t>corrl</t>
  </si>
  <si>
    <t>Thistle</t>
  </si>
  <si>
    <t>corroach</t>
  </si>
  <si>
    <t>Bedbug</t>
  </si>
  <si>
    <t>Amphibious Crawling Bomb</t>
  </si>
  <si>
    <t>corroach_0.9</t>
  </si>
  <si>
    <t>corroy</t>
  </si>
  <si>
    <t>Oppressor</t>
  </si>
  <si>
    <t>corsala</t>
  </si>
  <si>
    <t>Salamander</t>
  </si>
  <si>
    <t>Medium Heat Ray Amphibious Tank</t>
  </si>
  <si>
    <t>corseal</t>
  </si>
  <si>
    <t>corsb</t>
  </si>
  <si>
    <t>Dam Buster</t>
  </si>
  <si>
    <t>corscreamer</t>
  </si>
  <si>
    <t>Screamer</t>
  </si>
  <si>
    <t>corsd</t>
  </si>
  <si>
    <t>Nemesis</t>
  </si>
  <si>
    <t>Intrusion Countermeasure System</t>
  </si>
  <si>
    <t>corseah</t>
  </si>
  <si>
    <t>Skyhook</t>
  </si>
  <si>
    <t>corseap</t>
  </si>
  <si>
    <t>Monsoon</t>
  </si>
  <si>
    <t>corsent</t>
  </si>
  <si>
    <t>Fury</t>
  </si>
  <si>
    <t>corsfig</t>
  </si>
  <si>
    <t>Bat</t>
  </si>
  <si>
    <t>corsh</t>
  </si>
  <si>
    <t>Goon</t>
  </si>
  <si>
    <t>corshad</t>
  </si>
  <si>
    <t>Whirlwind</t>
  </si>
  <si>
    <t>corshark</t>
  </si>
  <si>
    <t>Predator</t>
  </si>
  <si>
    <t>corshiva</t>
  </si>
  <si>
    <t>Shiva</t>
  </si>
  <si>
    <t>Amphibious Siege Mech</t>
  </si>
  <si>
    <t>corshiva_2.1</t>
  </si>
  <si>
    <t>Cannon, StarburstLauncher</t>
  </si>
  <si>
    <t>corshroud</t>
  </si>
  <si>
    <t>Shroud</t>
  </si>
  <si>
    <t>corsilo</t>
  </si>
  <si>
    <t>Apocalypse</t>
  </si>
  <si>
    <t>corsjam</t>
  </si>
  <si>
    <t>Phantasm</t>
  </si>
  <si>
    <t>corsktl</t>
  </si>
  <si>
    <t>Skuttle</t>
  </si>
  <si>
    <t>Advanced Amphibious Crawling Bomb</t>
  </si>
  <si>
    <t>corsnap</t>
  </si>
  <si>
    <t>Cayman</t>
  </si>
  <si>
    <t>corsok</t>
  </si>
  <si>
    <t>Cataphract</t>
  </si>
  <si>
    <t>Heavy Laser Hovertank</t>
  </si>
  <si>
    <t>corsok_1.8</t>
  </si>
  <si>
    <t>corsolar</t>
  </si>
  <si>
    <t>corspec</t>
  </si>
  <si>
    <t>Deceiver</t>
  </si>
  <si>
    <t>corspy</t>
  </si>
  <si>
    <t>Spectre</t>
  </si>
  <si>
    <t>corssub</t>
  </si>
  <si>
    <t>Kraken</t>
  </si>
  <si>
    <t>corstorm</t>
  </si>
  <si>
    <t>Aggravator</t>
  </si>
  <si>
    <t>corsub</t>
  </si>
  <si>
    <t>Orca</t>
  </si>
  <si>
    <t>corsumo</t>
  </si>
  <si>
    <t>Mammoth</t>
  </si>
  <si>
    <t>Heavily Armored Assault Bot</t>
  </si>
  <si>
    <t>corsy</t>
  </si>
  <si>
    <t>corcs, correcl, coresupp, corpt, corpship, corroy, corsub</t>
  </si>
  <si>
    <t>cortarg</t>
  </si>
  <si>
    <t>cortermite</t>
  </si>
  <si>
    <t>Termite</t>
  </si>
  <si>
    <t>Heavy All-terrain Assault Spider</t>
  </si>
  <si>
    <t>cortermite_1.5</t>
  </si>
  <si>
    <t>corthud</t>
  </si>
  <si>
    <t>Thug</t>
  </si>
  <si>
    <t>cortide</t>
  </si>
  <si>
    <t>cortitan</t>
  </si>
  <si>
    <t>Angler</t>
  </si>
  <si>
    <t>cortl</t>
  </si>
  <si>
    <t>cortoast</t>
  </si>
  <si>
    <t>Persecutor</t>
  </si>
  <si>
    <t>Pop-up Plasma Artillery</t>
  </si>
  <si>
    <t>cortrem</t>
  </si>
  <si>
    <t>Tremor</t>
  </si>
  <si>
    <t>Heavy Artillery Vehicle</t>
  </si>
  <si>
    <t>cortrem_t2</t>
  </si>
  <si>
    <t>cortron</t>
  </si>
  <si>
    <t>Catalyst</t>
  </si>
  <si>
    <t>Tactical Missile Launcher</t>
  </si>
  <si>
    <t>tacnuke</t>
  </si>
  <si>
    <t>coruwadves</t>
  </si>
  <si>
    <t>coruwadvms</t>
  </si>
  <si>
    <t>coruwageo</t>
  </si>
  <si>
    <t>coruwes</t>
  </si>
  <si>
    <t>coruwfus</t>
  </si>
  <si>
    <t>Produces 1220 Energy</t>
  </si>
  <si>
    <t>coruwgeo</t>
  </si>
  <si>
    <t>coruwmme</t>
  </si>
  <si>
    <t>coruwmmm</t>
  </si>
  <si>
    <t>coruwms</t>
  </si>
  <si>
    <t>corvalk</t>
  </si>
  <si>
    <t>Hercules</t>
  </si>
  <si>
    <t>corvamp</t>
  </si>
  <si>
    <t>Nighthawk</t>
  </si>
  <si>
    <t>corveng</t>
  </si>
  <si>
    <t>Valiant</t>
  </si>
  <si>
    <t>corvipe</t>
  </si>
  <si>
    <t>Scorpion</t>
  </si>
  <si>
    <t>Pop-up Sabot Battery</t>
  </si>
  <si>
    <t>def_t2_missile</t>
  </si>
  <si>
    <t>corvoyr</t>
  </si>
  <si>
    <t>Augur</t>
  </si>
  <si>
    <t>corvp</t>
  </si>
  <si>
    <t>corcv, cormuskrat, cormlv, corfav, corgator, corgarp, corraid, corlevlr, corwolv, cormist</t>
  </si>
  <si>
    <t>corvrad</t>
  </si>
  <si>
    <t>Omen</t>
  </si>
  <si>
    <t>corvroc</t>
  </si>
  <si>
    <t>Negotiator</t>
  </si>
  <si>
    <t>corwin</t>
  </si>
  <si>
    <t>corwolv</t>
  </si>
  <si>
    <t>Wolverine</t>
  </si>
  <si>
    <t>Light Mobile Artillery</t>
  </si>
  <si>
    <t>Row Labels</t>
  </si>
  <si>
    <t>Grand Total</t>
  </si>
  <si>
    <t>Unit To Build</t>
  </si>
  <si>
    <t>Builders</t>
  </si>
  <si>
    <t>Name</t>
  </si>
  <si>
    <t>Buildpower</t>
  </si>
  <si>
    <t># of Units</t>
  </si>
  <si>
    <t>Metal Cost</t>
  </si>
  <si>
    <t>Energy Cost</t>
  </si>
  <si>
    <t>Buildpower Cost</t>
  </si>
  <si>
    <t>Time to Build</t>
  </si>
  <si>
    <t>Total</t>
  </si>
  <si>
    <t>Total Buildpower</t>
  </si>
  <si>
    <t>Build Stats</t>
  </si>
  <si>
    <t>Metal / sec</t>
  </si>
  <si>
    <t>Energy / sec</t>
  </si>
  <si>
    <t>Health:Buildtime</t>
  </si>
  <si>
    <t>DPS:Metal</t>
  </si>
  <si>
    <t># of AFUS</t>
  </si>
  <si>
    <t>AEC's per</t>
  </si>
  <si>
    <t>Total Metal /S</t>
  </si>
  <si>
    <t># of T2 Mex</t>
  </si>
  <si>
    <t>Base M/S</t>
  </si>
  <si>
    <t>T2 M/S</t>
  </si>
  <si>
    <t>Given Metal</t>
  </si>
  <si>
    <t>Quantity</t>
  </si>
  <si>
    <t>Total / item</t>
  </si>
  <si>
    <t>Eco'ing</t>
  </si>
  <si>
    <t>TIME</t>
  </si>
  <si>
    <t>Metal</t>
  </si>
  <si>
    <t>Energy</t>
  </si>
  <si>
    <t>Done Eco</t>
  </si>
  <si>
    <t>Factory</t>
  </si>
  <si>
    <t>Health/Metal</t>
  </si>
  <si>
    <t>Limits</t>
  </si>
  <si>
    <t>Energy Build Time</t>
  </si>
  <si>
    <t>Metal Build Time</t>
  </si>
  <si>
    <t>Optimal Nano Count</t>
  </si>
  <si>
    <t>armnuke</t>
  </si>
  <si>
    <t>Armada Nuke</t>
  </si>
  <si>
    <t>Armada Nuke, Custom Add</t>
  </si>
  <si>
    <t>cornuke</t>
  </si>
  <si>
    <t>Cortex Nuke</t>
  </si>
  <si>
    <t>Cortex Nuke, Custom Add</t>
  </si>
  <si>
    <t>ArmBots/T2/armaak.lua</t>
  </si>
  <si>
    <t>ArmBuildings/LandFactories/armaap.lua</t>
  </si>
  <si>
    <t>ArmShips/T2/armaas.lua</t>
  </si>
  <si>
    <t>ArmAircraft/T2/armaca.lua</t>
  </si>
  <si>
    <t>ArmBots/T2/armack.lua</t>
  </si>
  <si>
    <t>ArmShips/T2/armacsub.lua</t>
  </si>
  <si>
    <t>ArmVehicles/T2/armacv.lua</t>
  </si>
  <si>
    <t>ArmBuildings/LandEconomy/armadvsol.lua</t>
  </si>
  <si>
    <t>ArmBuildings/LandEconomy/armafus.lua</t>
  </si>
  <si>
    <t>ArmBuildings/LandEconomy/armageo.lua</t>
  </si>
  <si>
    <t>ArmHovercraft/armah.lua</t>
  </si>
  <si>
    <t>ArmBuildings/LandFactories/armalab.lua</t>
  </si>
  <si>
    <t>ArmBuildings/LandDefenceOffence/armamb.lua</t>
  </si>
  <si>
    <t>ArmBuildings/LandDefenceOffence/armamd.lua</t>
  </si>
  <si>
    <t>ArmBuildings/LandEconomy/armamex.lua</t>
  </si>
  <si>
    <t>ArmBots/T2/armamph.lua</t>
  </si>
  <si>
    <t>ArmBuildings/SeaFactories/armamsub.lua</t>
  </si>
  <si>
    <t>ArmHovercraft/armanac.lua</t>
  </si>
  <si>
    <t>ArmBuildings/LandDefenceOffence/armanni.lua</t>
  </si>
  <si>
    <t>Haven</t>
  </si>
  <si>
    <t>ArmShips/T2/armantiship.lua</t>
  </si>
  <si>
    <t>armca, armpeep, armfig, armthund, armatlas, armkam, armhvytrans</t>
  </si>
  <si>
    <t>ArmBuildings/LandFactories/armap.lua</t>
  </si>
  <si>
    <t>ArmBuildings/LandUtil/armarad.lua</t>
  </si>
  <si>
    <t>ArmVehicles/armart.lua</t>
  </si>
  <si>
    <t>ArmBots/T2/armaser.lua</t>
  </si>
  <si>
    <t>ArmBuildings/SeaUtil/armason.lua</t>
  </si>
  <si>
    <t>ArmBuildings/LandUtil/armasp.lua</t>
  </si>
  <si>
    <t>ArmBuildings/SeaFactories/armasy.lua</t>
  </si>
  <si>
    <t>ArmBuildings/SeaDefence/armatl.lua</t>
  </si>
  <si>
    <t>Light Air Transport</t>
  </si>
  <si>
    <t>ArmAircraft/armatlas.lua</t>
  </si>
  <si>
    <t>ArmBuildings/LandFactories/armavp.lua</t>
  </si>
  <si>
    <t>ArmAircraft/T2/armawac.lua</t>
  </si>
  <si>
    <t>ArmGantry/armbanth.lua</t>
  </si>
  <si>
    <t>ArmShips/T2/armbats.lua</t>
  </si>
  <si>
    <t>ArmBuildings/LandDefenceOffence/armbeamer.lua</t>
  </si>
  <si>
    <t>armsolar, armadvsol, armwin, armgeo, armmstor, armestor, armmex, armamex, armmakr, armlab, armvp, armap, armhp, armavp, armnanotc, armnanotcplat, armeyes, armrad, armdrag, armclaw, armllt, armbeamer, armhlt, armguard, armrl, armferret, armcir, armjuno, armdl, armjamt, armfhp, armsy, armtide, armfmkr, armuwms, armuwes, armamsub, armplat, armfdrag, armfrad, armfhlt, armfrt, armtl, armuwgeo</t>
  </si>
  <si>
    <t>ArmVehicles/armbeaver.lua</t>
  </si>
  <si>
    <t>ArmAircraft/T2/armblade.lua</t>
  </si>
  <si>
    <t>ArmAircraft/T2/armbrawl.lua</t>
  </si>
  <si>
    <t>ArmBuildings/LandDefenceOffence/armbrtha.lua</t>
  </si>
  <si>
    <t>ArmVehicles/T2/armbull.lua</t>
  </si>
  <si>
    <t>ArmAircraft/armca.lua</t>
  </si>
  <si>
    <t>ArmHovercraft/armch.lua</t>
  </si>
  <si>
    <t>ArmBuildings/LandDefenceOffence/armcir.lua</t>
  </si>
  <si>
    <t>ArmBots/armck.lua</t>
  </si>
  <si>
    <t>ArmBuildings/LandEconomy/armckfus.lua</t>
  </si>
  <si>
    <t>ArmBuildings/LandDefenceOffence/armclaw.lua</t>
  </si>
  <si>
    <t>ArmVehicles/T2/armconsul.lua</t>
  </si>
  <si>
    <t>ArmVehicles/T2/armcroc.lua</t>
  </si>
  <si>
    <t>ArmShips/T2/armcrus.lua</t>
  </si>
  <si>
    <t>ArmShips/armcs.lua</t>
  </si>
  <si>
    <t>ArmSeaplanes/armcsa.lua</t>
  </si>
  <si>
    <t>ArmVehicles/armcv.lua</t>
  </si>
  <si>
    <t>ArmShips/armdecade.lua</t>
  </si>
  <si>
    <t>ArmBots/T2/armdecom.lua</t>
  </si>
  <si>
    <t>ArmBuildings/LandUtil/armdf.lua</t>
  </si>
  <si>
    <t>ArmAircraft/T2/armdfly.lua</t>
  </si>
  <si>
    <t>ArmBuildings/SeaDefence/armdl.lua</t>
  </si>
  <si>
    <t>ArmBuildings/LandUtil/armdrag.lua</t>
  </si>
  <si>
    <t>ArmBuildings/LandDefenceOffence/armemp.lua</t>
  </si>
  <si>
    <t>ArmShips/T2/armepoch.lua</t>
  </si>
  <si>
    <t>ArmBuildings/LandEconomy/armestor.lua</t>
  </si>
  <si>
    <t>ArmBuildings/LandUtil/armeyes.lua</t>
  </si>
  <si>
    <t>ArmBots/T2/armfark.lua</t>
  </si>
  <si>
    <t>ArmBuildings/SeaUtil/armfasp.lua</t>
  </si>
  <si>
    <t>ArmBots/T2/armfast.lua</t>
  </si>
  <si>
    <t>ArmBuildings/SeaUtil/armfatf.lua</t>
  </si>
  <si>
    <t>ArmVehicles/armfav.lua</t>
  </si>
  <si>
    <t>ArmBots/T2/armfboy.lua</t>
  </si>
  <si>
    <t>ArmBuildings/SeaUtil/armfdrag.lua</t>
  </si>
  <si>
    <t>ArmBuildings/LandDefenceOffence/armferret.lua</t>
  </si>
  <si>
    <t>ArmBuildings/SeaDefence/armfflak.lua</t>
  </si>
  <si>
    <t>ArmBuildings/SeaDefence/armfhlt.lua</t>
  </si>
  <si>
    <t>ArmBuildings/SeaFactories/armfhp.lua</t>
  </si>
  <si>
    <t>ArmBots/T2/armfido.lua</t>
  </si>
  <si>
    <t>ArmAircraft/armfig.lua</t>
  </si>
  <si>
    <t>ArmBuildings/LandDefenceOffence/armflak.lua</t>
  </si>
  <si>
    <t>ArmVehicles/armflash.lua</t>
  </si>
  <si>
    <t>ArmBots/armflea.lua</t>
  </si>
  <si>
    <t>ArmBuildings/SeaUtil/armfmine3.lua</t>
  </si>
  <si>
    <t>ArmBuildings/SeaEconomy/armfmkr.lua</t>
  </si>
  <si>
    <t>ArmBuildings/LandUtil/armfort.lua</t>
  </si>
  <si>
    <t>ArmBuildings/SeaUtil/armfrad.lua</t>
  </si>
  <si>
    <t>ArmBuildings/SeaDefence/armfrt.lua</t>
  </si>
  <si>
    <t>ArmBuildings/LandEconomy/armfus.lua</t>
  </si>
  <si>
    <t>ArmBuildings/LandUtil/armgate.lua</t>
  </si>
  <si>
    <t>ArmBuildings/LandEconomy/armgeo.lua</t>
  </si>
  <si>
    <t>ArmBuildings/LandEconomy/armgmm.lua</t>
  </si>
  <si>
    <t>ArmVehicles/T2/armgremlin.lua</t>
  </si>
  <si>
    <t>ArmBuildings/LandDefenceOffence/armguard.lua</t>
  </si>
  <si>
    <t>ArmBots/armham.lua</t>
  </si>
  <si>
    <t>ArmAircraft/T2/armhawk.lua</t>
  </si>
  <si>
    <t>ArmBuildings/LandDefenceOffence/armhlt.lua</t>
  </si>
  <si>
    <t>ArmBuildings/LandFactories/armhp.lua</t>
  </si>
  <si>
    <t>armhvytrans</t>
  </si>
  <si>
    <t>Osprey</t>
  </si>
  <si>
    <t>Heavy Transport</t>
  </si>
  <si>
    <t>ArmAircraft/armhvytrans.lua</t>
  </si>
  <si>
    <t>ArmVehicles/T2/armjam.lua</t>
  </si>
  <si>
    <t>ArmBuildings/LandUtil/armjamt.lua</t>
  </si>
  <si>
    <t>ArmVehicles/armjanus.lua</t>
  </si>
  <si>
    <t>ArmBots/armjeth.lua</t>
  </si>
  <si>
    <t>ArmBuildings/LandDefenceOffence/armjuno.lua</t>
  </si>
  <si>
    <t>ArmAircraft/armkam.lua</t>
  </si>
  <si>
    <t>ArmBuildings/SeaDefence/armkraken.lua</t>
  </si>
  <si>
    <t>ArmBuildings/LandFactories/armlab.lua</t>
  </si>
  <si>
    <t>ArmAircraft/T2/armlance.lua</t>
  </si>
  <si>
    <t>ArmVehicles/T2/armlatnk.lua</t>
  </si>
  <si>
    <t>ArmAircraft/T2/armliche.lua</t>
  </si>
  <si>
    <t>ArmBuildings/LandDefenceOffence/armllt.lua</t>
  </si>
  <si>
    <t>Maelstrom</t>
  </si>
  <si>
    <t>ArmShips/T2/armlship.lua</t>
  </si>
  <si>
    <t>ArmGantry/armlun.lua</t>
  </si>
  <si>
    <t>ArmBuildings/LandEconomy/armmakr.lua</t>
  </si>
  <si>
    <t>ArmVehicles/T2/armmanni.lua</t>
  </si>
  <si>
    <t>ArmGantry/armmar.lua</t>
  </si>
  <si>
    <t>ArmBots/T2/armmark.lua</t>
  </si>
  <si>
    <t>ArmVehicles/T2/armmart.lua</t>
  </si>
  <si>
    <t>ArmBots/T2/armmav.lua</t>
  </si>
  <si>
    <t>ArmBuildings/LandDefenceOffence/armmercury.lua</t>
  </si>
  <si>
    <t>ArmVehicles/T2/armmerl.lua</t>
  </si>
  <si>
    <t>ArmBuildings/LandEconomy/armmex.lua</t>
  </si>
  <si>
    <t>ArmHovercraft/armmh.lua</t>
  </si>
  <si>
    <t>ArmBuildings/LandUtil/armmine1.lua</t>
  </si>
  <si>
    <t>ArmBuildings/LandUtil/armmine2.lua</t>
  </si>
  <si>
    <t>ArmBuildings/LandUtil/armmine3.lua</t>
  </si>
  <si>
    <t>armtide, armmex, armfrad, armarad, armnanotcplat, armsy, armcs, armtl, armfhlt, armfflak, armpt, armdecade, armroy, armamph, armfmine3, armamb, armkraken, armfdrag</t>
  </si>
  <si>
    <t>ArmShips/T2/armmls.lua</t>
  </si>
  <si>
    <t>ArmVehicles/armmlv.lua</t>
  </si>
  <si>
    <t>ArmBuildings/LandEconomy/armmmkr.lua</t>
  </si>
  <si>
    <t>ArmBuildings/LandEconomy/armmoho.lua</t>
  </si>
  <si>
    <t>ArmShips/T2/armmship.lua</t>
  </si>
  <si>
    <t>ArmBuildings/LandEconomy/armmstor.lua</t>
  </si>
  <si>
    <t>ArmBuildings/LandUtil/armnanotc.lua</t>
  </si>
  <si>
    <t>ArmBuildings/SeaUtil/armnanotcplat.lua</t>
  </si>
  <si>
    <t>ArmBuildings/LandDefenceOffence/armpb.lua</t>
  </si>
  <si>
    <t>ArmAircraft/armpeep.lua</t>
  </si>
  <si>
    <t>ArmVehicles/armpincer.lua</t>
  </si>
  <si>
    <t>ArmBuildings/SeaFactories/armplat.lua</t>
  </si>
  <si>
    <t>ArmAircraft/T2/armpnix.lua</t>
  </si>
  <si>
    <t>ArmShips/armpship.lua</t>
  </si>
  <si>
    <t>ArmShips/armpt.lua</t>
  </si>
  <si>
    <t>ArmBots/armpw.lua</t>
  </si>
  <si>
    <t>ArmBuildings/LandUtil/armrad.lua</t>
  </si>
  <si>
    <t>ArmGantry/armraz.lua</t>
  </si>
  <si>
    <t>ArmShips/armrecl.lua</t>
  </si>
  <si>
    <t>ArmBots/armrectr.lua</t>
  </si>
  <si>
    <t>ArmBuildings/LandDefenceOffence/armrl.lua</t>
  </si>
  <si>
    <t>ArmBots/armrock.lua</t>
  </si>
  <si>
    <t>ArmShips/armroy.lua</t>
  </si>
  <si>
    <t>ArmSeaplanes/armsaber.lua</t>
  </si>
  <si>
    <t>ArmVehicles/armsam.lua</t>
  </si>
  <si>
    <t>ArmSeaplanes/armsb.lua</t>
  </si>
  <si>
    <t>ArmBots/T2/armscab.lua</t>
  </si>
  <si>
    <t>ArmBuildings/LandUtil/armsd.lua</t>
  </si>
  <si>
    <t>ArmSeaplanes/armseap.lua</t>
  </si>
  <si>
    <t>ArmVehicles/T2/armseer.lua</t>
  </si>
  <si>
    <t>ArmSeaplanes/armsehak.lua</t>
  </si>
  <si>
    <t>2x TorpedoLauncher</t>
  </si>
  <si>
    <t>ArmShips/T2/armserp.lua</t>
  </si>
  <si>
    <t>ArmSeaplanes/armsfig.lua</t>
  </si>
  <si>
    <t>ArmHovercraft/armsh.lua</t>
  </si>
  <si>
    <t>ArmBuildings/LandFactories/armshltx.lua</t>
  </si>
  <si>
    <t>ArmBuildings/SeaFactories/armshltxuw.lua</t>
  </si>
  <si>
    <t>ArmBuildings/LandDefenceOffence/armsilo.lua</t>
  </si>
  <si>
    <t>ArmShips/T2/armsjam.lua</t>
  </si>
  <si>
    <t>ArmBots/T2/armsnipe.lua</t>
  </si>
  <si>
    <t>ArmBuildings/LandEconomy/armsolar.lua</t>
  </si>
  <si>
    <t>ArmBots/T2/armspid.lua</t>
  </si>
  <si>
    <t>ArmBots/T2/armsptk.lua</t>
  </si>
  <si>
    <t>ArmBots/T2/armspy.lua</t>
  </si>
  <si>
    <t>ArmAircraft/T2/armstil.lua</t>
  </si>
  <si>
    <t>ArmVehicles/armstump.lua</t>
  </si>
  <si>
    <t>ArmShips/armsub.lua</t>
  </si>
  <si>
    <t>ArmShips/T2/armsubk.lua</t>
  </si>
  <si>
    <t>ArmBuildings/SeaFactories/armsy.lua</t>
  </si>
  <si>
    <t>ArmBuildings/LandUtil/armtarg.lua</t>
  </si>
  <si>
    <t>ArmGantry/armthor.lua</t>
  </si>
  <si>
    <t>ArmAircraft/armthund.lua</t>
  </si>
  <si>
    <t>ArmBuildings/SeaEconomy/armtide.lua</t>
  </si>
  <si>
    <t>ArmBuildings/SeaDefence/armtl.lua</t>
  </si>
  <si>
    <t>ArmBuildings/SeaEconomy/armuwadves.lua</t>
  </si>
  <si>
    <t>ArmBuildings/SeaEconomy/armuwadvms.lua</t>
  </si>
  <si>
    <t>ArmBuildings/SeaEconomy/armuwageo.lua</t>
  </si>
  <si>
    <t>ArmBuildings/SeaEconomy/armuwes.lua</t>
  </si>
  <si>
    <t>ArmBuildings/SeaEconomy/armuwfus.lua</t>
  </si>
  <si>
    <t>ArmBuildings/SeaEconomy/armuwgeo.lua</t>
  </si>
  <si>
    <t>ArmBuildings/SeaEconomy/armuwmme.lua</t>
  </si>
  <si>
    <t>ArmBuildings/SeaEconomy/armuwmmm.lua</t>
  </si>
  <si>
    <t>ArmBuildings/SeaEconomy/armuwms.lua</t>
  </si>
  <si>
    <t>ArmBots/T2/armvader.lua</t>
  </si>
  <si>
    <t>ArmGantry/armvang.lua</t>
  </si>
  <si>
    <t>ArmBuildings/LandUtil/armveil.lua</t>
  </si>
  <si>
    <t>ArmBuildings/LandFactories/armvp.lua</t>
  </si>
  <si>
    <t>ArmBuildings/LandDefenceOffence/armvulc.lua</t>
  </si>
  <si>
    <t>ArmBots/armwar.lua</t>
  </si>
  <si>
    <t>ArmBuildings/LandEconomy/armwin.lua</t>
  </si>
  <si>
    <t>ArmVehicles/T2/armyork.lua</t>
  </si>
  <si>
    <t>ArmBots/T2/armzeus.lua</t>
  </si>
  <si>
    <t>CorBots/T2/coraak.lua</t>
  </si>
  <si>
    <t>CorBuildings/LandFactories/coraap.lua</t>
  </si>
  <si>
    <t>CorAircraft/T2/coraca.lua</t>
  </si>
  <si>
    <t>corfus, corafus, corgant, corageo, corbhmth, cormoho, cormexp, cormmkr, coruwadves, coruwadvms, corarad, corshroud, corfort, corasp, cortarg, corsd, corgate, cortoast, corvipe, cordoom, corflak, corscreamer, cortron, corfmd, corsilo, corint, corbuzz, corlab, coralab</t>
  </si>
  <si>
    <t>CorBots/T2/corack.lua</t>
  </si>
  <si>
    <t>CorShips/T2/coracsub.lua</t>
  </si>
  <si>
    <t>CorVehicles/T2/coracv.lua</t>
  </si>
  <si>
    <t>CorBuildings/LandEconomy/coradvsol.lua</t>
  </si>
  <si>
    <t>CorBuildings/LandEconomy/corafus.lua</t>
  </si>
  <si>
    <t>CorBuildings/LandEconomy/corageo.lua</t>
  </si>
  <si>
    <t>CorHovercraft/corah.lua</t>
  </si>
  <si>
    <t>CorBots/corak.lua</t>
  </si>
  <si>
    <t>CorBuildings/LandFactories/coralab.lua</t>
  </si>
  <si>
    <t>CorBots/T2/coramph.lua</t>
  </si>
  <si>
    <t>CorBuildings/SeaFactories/coramsub.lua</t>
  </si>
  <si>
    <t>Oasis</t>
  </si>
  <si>
    <t>CorShips/T2/corantiship.lua</t>
  </si>
  <si>
    <t>corca, corfink, corveng, corshad, corvalk, corbw, corhvytrans</t>
  </si>
  <si>
    <t>CorBuildings/LandFactories/corap.lua</t>
  </si>
  <si>
    <t>CorAircraft/T2/corape.lua</t>
  </si>
  <si>
    <t>CorBuildings/LandUtil/corarad.lua</t>
  </si>
  <si>
    <t>CorShips/T2/corarch.lua</t>
  </si>
  <si>
    <t>CorBuildings/SeaUtil/corason.lua</t>
  </si>
  <si>
    <t>CorBuildings/LandUtil/corasp.lua</t>
  </si>
  <si>
    <t>CorBuildings/SeaFactories/corasy.lua</t>
  </si>
  <si>
    <t>CorBuildings/SeaDefence/coratl.lua</t>
  </si>
  <si>
    <t>CorBuildings/LandFactories/coravp.lua</t>
  </si>
  <si>
    <t>CorAircraft/T2/corawac.lua</t>
  </si>
  <si>
    <t>CorVehicles/T2/corban.lua</t>
  </si>
  <si>
    <t>CorShips/T2/corbats.lua</t>
  </si>
  <si>
    <t>CorBuildings/LandDefenceOffence/corbhmth.lua</t>
  </si>
  <si>
    <t>CorShips/T2/corblackhy.lua</t>
  </si>
  <si>
    <t>CorBuildings/LandDefenceOffence/corbuzz.lua</t>
  </si>
  <si>
    <t>CorAircraft/corbw.lua</t>
  </si>
  <si>
    <t>CorAircraft/corca.lua</t>
  </si>
  <si>
    <t>CorBots/T2/corcan.lua</t>
  </si>
  <si>
    <t>CorGantry/corcat.lua</t>
  </si>
  <si>
    <t>CorHovercraft/corch.lua</t>
  </si>
  <si>
    <t>CorBots/corck.lua</t>
  </si>
  <si>
    <t>CorBots/corcrash.lua</t>
  </si>
  <si>
    <t>CorShips/T2/corcrus.lua</t>
  </si>
  <si>
    <t>CorAircraft/T2/corcrwh.lua</t>
  </si>
  <si>
    <t>CorShips/corcs.lua</t>
  </si>
  <si>
    <t>CorSeaplanes/corcsa.lua</t>
  </si>
  <si>
    <t>CorSeaplanes/corcut.lua</t>
  </si>
  <si>
    <t>CorVehicles/corcv.lua</t>
  </si>
  <si>
    <t>CorBots/T2/cordecom.lua</t>
  </si>
  <si>
    <t>CorGantry/cordemon.lua</t>
  </si>
  <si>
    <t>CorBuildings/SeaDefence/cordl.lua</t>
  </si>
  <si>
    <t>CorBuildings/LandDefenceOffence/cordoom.lua</t>
  </si>
  <si>
    <t>CorBuildings/LandUtil/cordrag.lua</t>
  </si>
  <si>
    <t>CorBuildings/SeaDefence/corenaa.lua</t>
  </si>
  <si>
    <t>CorBuildings/LandDefenceOffence/corerad.lua</t>
  </si>
  <si>
    <t>CorBuildings/LandEconomy/corestor.lua</t>
  </si>
  <si>
    <t>CorShips/coresupp.lua</t>
  </si>
  <si>
    <t>CorVehicles/T2/coreter.lua</t>
  </si>
  <si>
    <t>CorBuildings/LandDefenceOffence/corexp.lua</t>
  </si>
  <si>
    <t>CorBuildings/LandUtil/coreyes.lua</t>
  </si>
  <si>
    <t>CorBuildings/SeaUtil/corfasp.lua</t>
  </si>
  <si>
    <t>CorBots/T2/corfast.lua</t>
  </si>
  <si>
    <t>CorBuildings/SeaUtil/corfatf.lua</t>
  </si>
  <si>
    <t>CorVehicles/corfav.lua</t>
  </si>
  <si>
    <t>CorBuildings/SeaDefence/corfdoom.lua</t>
  </si>
  <si>
    <t>CorBuildings/SeaUtil/corfdrag.lua</t>
  </si>
  <si>
    <t>CorBuildings/SeaDefence/corfhlt.lua</t>
  </si>
  <si>
    <t>CorBuildings/SeaFactories/corfhp.lua</t>
  </si>
  <si>
    <t>CorAircraft/corfink.lua</t>
  </si>
  <si>
    <t>CorBuildings/LandDefenceOffence/corflak.lua</t>
  </si>
  <si>
    <t>CorBuildings/LandDefenceOffence/corfmd.lua</t>
  </si>
  <si>
    <t>CorBuildings/SeaUtil/corfmine3.lua</t>
  </si>
  <si>
    <t>CorBuildings/SeaEconomy/corfmkr.lua</t>
  </si>
  <si>
    <t>CorBuildings/LandUtil/corfort.lua</t>
  </si>
  <si>
    <t>CorBuildings/SeaUtil/corfrad.lua</t>
  </si>
  <si>
    <t>CorBuildings/SeaDefence/corfrt.lua</t>
  </si>
  <si>
    <t>Brimstone</t>
  </si>
  <si>
    <t>CorShips/T2/corfship.lua</t>
  </si>
  <si>
    <t>CorBuildings/LandEconomy/corfus.lua</t>
  </si>
  <si>
    <t>CorBuildings/LandFactories/corgant.lua</t>
  </si>
  <si>
    <t>CorBuildings/SeaFactories/corgantuw.lua</t>
  </si>
  <si>
    <t>CorVehicles/corgarp.lua</t>
  </si>
  <si>
    <t>CorBuildings/LandUtil/corgate.lua</t>
  </si>
  <si>
    <t>CorVehicles/corgator.lua</t>
  </si>
  <si>
    <t>CorBuildings/LandEconomy/corgeo.lua</t>
  </si>
  <si>
    <t>CorVehicles/T2/corgol.lua</t>
  </si>
  <si>
    <t>CorHovercraft/corhal.lua</t>
  </si>
  <si>
    <t>CorBuildings/LandDefenceOffence/corhllt.lua</t>
  </si>
  <si>
    <t>CorBuildings/LandDefenceOffence/corhlt.lua</t>
  </si>
  <si>
    <t>CorBuildings/LandFactories/corhp.lua</t>
  </si>
  <si>
    <t>CorBots/T2/corhrk.lua</t>
  </si>
  <si>
    <t>CorSeaplanes/corhunt.lua</t>
  </si>
  <si>
    <t>CorAircraft/T2/corhurc.lua</t>
  </si>
  <si>
    <t>corhvytrans</t>
  </si>
  <si>
    <t>Hephaestus</t>
  </si>
  <si>
    <t>CorAircraft/corhvytrans.lua</t>
  </si>
  <si>
    <t>CorBuildings/LandDefenceOffence/corint.lua</t>
  </si>
  <si>
    <t>CorBuildings/LandUtil/corjamt.lua</t>
  </si>
  <si>
    <t>CorGantry/corjugg.lua</t>
  </si>
  <si>
    <t>CorBuildings/LandDefenceOffence/corjuno.lua</t>
  </si>
  <si>
    <t>CorGantry/corkarg.lua</t>
  </si>
  <si>
    <t>CorGantry/corkorg.lua</t>
  </si>
  <si>
    <t>CorBuildings/LandFactories/corlab.lua</t>
  </si>
  <si>
    <t>CorVehicles/corlevlr.lua</t>
  </si>
  <si>
    <t>CorBuildings/LandDefenceOffence/corllt.lua</t>
  </si>
  <si>
    <t>antinukevehicle</t>
  </si>
  <si>
    <t>CorVehicles/T2/cormabm.lua</t>
  </si>
  <si>
    <t>CorBuildings/LandDefenceOffence/cormadsam.lua</t>
  </si>
  <si>
    <t>CorBuildings/LandEconomy/cormakr.lua</t>
  </si>
  <si>
    <t>corvalk, corfink, cormine2, cormaw, cordrag, coreyes, corjamt</t>
  </si>
  <si>
    <t>CorBots/T2/cormando.lua</t>
  </si>
  <si>
    <t>CorVehicles/T2/cormart.lua</t>
  </si>
  <si>
    <t>CorBuildings/LandDefenceOffence/cormaw.lua</t>
  </si>
  <si>
    <t>CorBuildings/LandEconomy/cormex.lua</t>
  </si>
  <si>
    <t>CorBuildings/LandDefenceOffence/cormexp.lua</t>
  </si>
  <si>
    <t>CorHovercraft/cormh.lua</t>
  </si>
  <si>
    <t>CorBuildings/LandUtil/cormine1.lua</t>
  </si>
  <si>
    <t>CorBuildings/LandUtil/cormine2.lua</t>
  </si>
  <si>
    <t>CorBuildings/LandUtil/cormine3.lua</t>
  </si>
  <si>
    <t>CorVehicles/cormist.lua</t>
  </si>
  <si>
    <t>cortide, cormex, corfrad, corarad, cornanotcplat, corsy, corcs, cortl, corfhlt, corenaa, corpt, coresupp, corroy, corfmine3, cortoast, corfdoom, corfdrag</t>
  </si>
  <si>
    <t>CorShips/T2/cormls.lua</t>
  </si>
  <si>
    <t>CorVehicles/cormlv.lua</t>
  </si>
  <si>
    <t>CorBuildings/LandEconomy/cormmkr.lua</t>
  </si>
  <si>
    <t>CorBuildings/LandEconomy/cormoho.lua</t>
  </si>
  <si>
    <t>CorBots/T2/cormort.lua</t>
  </si>
  <si>
    <t>CorShips/T2/cormship.lua</t>
  </si>
  <si>
    <t>CorBuildings/LandEconomy/cormstor.lua</t>
  </si>
  <si>
    <t>corsolar, coradvsol, corwin, corgeo, cormstor, corestor, cormex, corexp, cormakr, corlab, corvp, corap, corhp, coravp, cornanotc, cornanotcplat, coreyes, corrad, cordrag, cormaw, corllt, corhllt, corhlt, corpun, corrl, cormadsam, corerad, corjuno, cordl, corjamt, corfhp, coramsub, corplat, corsy, cortide, corfmkr, coruwms, coruwes, corfdrag, corfrad, corfhlt, corfrt, cortl, coruwgeo</t>
  </si>
  <si>
    <t>CorVehicles/cormuskrat.lua</t>
  </si>
  <si>
    <t>CorBuildings/LandUtil/cornanotc.lua</t>
  </si>
  <si>
    <t>CorBuildings/SeaUtil/cornanotcplat.lua</t>
  </si>
  <si>
    <t>CorBots/cornecro.lua</t>
  </si>
  <si>
    <t>CorVehicles/T2/corparrow.lua</t>
  </si>
  <si>
    <t>CorBuildings/SeaFactories/corplat.lua</t>
  </si>
  <si>
    <t>CorShips/corpship.lua</t>
  </si>
  <si>
    <t>CorShips/corpt.lua</t>
  </si>
  <si>
    <t>CorBuildings/LandDefenceOffence/corpun.lua</t>
  </si>
  <si>
    <t>CorBots/T2/corpyro.lua</t>
  </si>
  <si>
    <t>CorBuildings/LandUtil/corrad.lua</t>
  </si>
  <si>
    <t>CorVehicles/corraid.lua</t>
  </si>
  <si>
    <t>CorVehicles/T2/correap.lua</t>
  </si>
  <si>
    <t>CorShips/correcl.lua</t>
  </si>
  <si>
    <t>CorBuildings/LandDefenceOffence/corrl.lua</t>
  </si>
  <si>
    <t>CorBots/T2/corroach.lua</t>
  </si>
  <si>
    <t>CorShips/corroy.lua</t>
  </si>
  <si>
    <t>CorVehicles/T2/corsala.lua</t>
  </si>
  <si>
    <t>CorSeaplanes/corsb.lua</t>
  </si>
  <si>
    <t>CorBuildings/LandDefenceOffence/corscreamer.lua</t>
  </si>
  <si>
    <t>CorBuildings/LandUtil/corsd.lua</t>
  </si>
  <si>
    <t>Heavy Assault Transport</t>
  </si>
  <si>
    <t>CorAircraft/T2/corseah.lua</t>
  </si>
  <si>
    <t>CorSeaplanes/corseap.lua</t>
  </si>
  <si>
    <t>CorVehicles/T2/corsent.lua</t>
  </si>
  <si>
    <t>CorSeaplanes/corsfig.lua</t>
  </si>
  <si>
    <t>CorHovercraft/corsh.lua</t>
  </si>
  <si>
    <t>CorAircraft/corshad.lua</t>
  </si>
  <si>
    <t>CorShips/T2/corshark.lua</t>
  </si>
  <si>
    <t>CorGantry/corshiva.lua</t>
  </si>
  <si>
    <t>CorBuildings/LandUtil/corshroud.lua</t>
  </si>
  <si>
    <t>CorBuildings/LandDefenceOffence/corsilo.lua</t>
  </si>
  <si>
    <t>CorShips/T2/corsjam.lua</t>
  </si>
  <si>
    <t>CorBots/T2/corsktl.lua</t>
  </si>
  <si>
    <t>CorHovercraft/corsnap.lua</t>
  </si>
  <si>
    <t>TorpedoLauncher, LaserCannon</t>
  </si>
  <si>
    <t>CorGantry/corsok.lua</t>
  </si>
  <si>
    <t>CorBuildings/LandEconomy/corsolar.lua</t>
  </si>
  <si>
    <t>CorBots/T2/corspec.lua</t>
  </si>
  <si>
    <t>CorBots/T2/corspy.lua</t>
  </si>
  <si>
    <t>CorShips/T2/corssub.lua</t>
  </si>
  <si>
    <t>CorBots/corstorm.lua</t>
  </si>
  <si>
    <t>CorShips/corsub.lua</t>
  </si>
  <si>
    <t>CorBots/T2/corsumo.lua</t>
  </si>
  <si>
    <t>CorBuildings/SeaFactories/corsy.lua</t>
  </si>
  <si>
    <t>CorBuildings/LandUtil/cortarg.lua</t>
  </si>
  <si>
    <t>CorBots/T2/cortermite.lua</t>
  </si>
  <si>
    <t>CorBots/corthud.lua</t>
  </si>
  <si>
    <t>CorBuildings/SeaEconomy/cortide.lua</t>
  </si>
  <si>
    <t>CorAircraft/T2/cortitan.lua</t>
  </si>
  <si>
    <t>CorBuildings/SeaDefence/cortl.lua</t>
  </si>
  <si>
    <t>CorBuildings/LandDefenceOffence/cortoast.lua</t>
  </si>
  <si>
    <t>CorVehicles/T2/cortrem.lua</t>
  </si>
  <si>
    <t>CorBuildings/LandDefenceOffence/cortron.lua</t>
  </si>
  <si>
    <t>CorBuildings/SeaEconomy/coruwadves.lua</t>
  </si>
  <si>
    <t>CorBuildings/SeaEconomy/coruwadvms.lua</t>
  </si>
  <si>
    <t>CorBuildings/SeaEconomy/coruwageo.lua</t>
  </si>
  <si>
    <t>CorBuildings/SeaEconomy/coruwes.lua</t>
  </si>
  <si>
    <t>CorBuildings/SeaEconomy/coruwfus.lua</t>
  </si>
  <si>
    <t>CorBuildings/SeaEconomy/coruwgeo.lua</t>
  </si>
  <si>
    <t>CorBuildings/SeaEconomy/coruwmme.lua</t>
  </si>
  <si>
    <t>CorBuildings/SeaEconomy/coruwmmm.lua</t>
  </si>
  <si>
    <t>CorBuildings/SeaEconomy/coruwms.lua</t>
  </si>
  <si>
    <t>CorAircraft/corvalk.lua</t>
  </si>
  <si>
    <t>CorAircraft/T2/corvamp.lua</t>
  </si>
  <si>
    <t>CorAircraft/corveng.lua</t>
  </si>
  <si>
    <t>CorBuildings/LandDefenceOffence/corvipe.lua</t>
  </si>
  <si>
    <t>CorBots/T2/corvoyr.lua</t>
  </si>
  <si>
    <t>CorBuildings/LandFactories/corvp.lua</t>
  </si>
  <si>
    <t>CorVehicles/T2/corvrad.lua</t>
  </si>
  <si>
    <t>CorVehicles/T2/corvroc.lua</t>
  </si>
  <si>
    <t>CorBuildings/LandEconomy/corwin.lua</t>
  </si>
  <si>
    <t>CorVehicles/corwolv.lua</t>
  </si>
  <si>
    <t>3 Mex</t>
  </si>
  <si>
    <t>Winds for enough energy for T2 factory, 1 minute buildtime</t>
  </si>
  <si>
    <t>19 seconds</t>
  </si>
  <si>
    <t>metal</t>
  </si>
  <si>
    <t>e cost</t>
  </si>
  <si>
    <t>8 Winds</t>
  </si>
  <si>
    <t>43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</si>
</sst>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8"/>
      <color rgb="FFFFFFFF"/>
      <name val="Aptos Display"/>
      <family val="2"/>
      <scheme val="major"/>
    </font>
    <font>
      <sz val="11"/>
      <color rgb="FF000000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i/>
      <sz val="11"/>
      <color theme="0" tint="-4.9989318521683403E-2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2E3440"/>
        <bgColor indexed="64"/>
      </patternFill>
    </fill>
    <fill>
      <patternFill patternType="solid">
        <fgColor rgb="FFB2B2B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 style="thin">
        <color rgb="FF454545"/>
      </right>
      <top style="thin">
        <color rgb="FF454545"/>
      </top>
      <bottom style="thin">
        <color rgb="FF454545"/>
      </bottom>
      <diagonal/>
    </border>
    <border>
      <left style="thin">
        <color rgb="FF454545"/>
      </left>
      <right/>
      <top style="thin">
        <color rgb="FF454545"/>
      </top>
      <bottom style="thin">
        <color rgb="FF454545"/>
      </bottom>
      <diagonal/>
    </border>
    <border>
      <left/>
      <right style="thin">
        <color rgb="FF454545"/>
      </right>
      <top/>
      <bottom style="thin">
        <color rgb="FF454545"/>
      </bottom>
      <diagonal/>
    </border>
    <border>
      <left style="thin">
        <color rgb="FF454545"/>
      </left>
      <right style="thin">
        <color rgb="FF454545"/>
      </right>
      <top/>
      <bottom style="thin">
        <color rgb="FF454545"/>
      </bottom>
      <diagonal/>
    </border>
    <border>
      <left style="thin">
        <color rgb="FF454545"/>
      </left>
      <right/>
      <top/>
      <bottom style="thin">
        <color rgb="FF454545"/>
      </bottom>
      <diagonal/>
    </border>
    <border>
      <left/>
      <right style="thin">
        <color rgb="FF454545"/>
      </right>
      <top style="thin">
        <color rgb="FF454545"/>
      </top>
      <bottom/>
      <diagonal/>
    </border>
    <border>
      <left style="thin">
        <color rgb="FF454545"/>
      </left>
      <right style="thin">
        <color rgb="FF454545"/>
      </right>
      <top style="thin">
        <color rgb="FF454545"/>
      </top>
      <bottom/>
      <diagonal/>
    </border>
    <border>
      <left style="thin">
        <color rgb="FF454545"/>
      </left>
      <right/>
      <top style="thin">
        <color rgb="FF454545"/>
      </top>
      <bottom/>
      <diagonal/>
    </border>
  </borders>
  <cellStyleXfs count="9">
    <xf numFmtId="0" fontId="0" fillId="3" borderId="5"/>
    <xf numFmtId="0" fontId="6" fillId="3" borderId="0" applyNumberFormat="0" applyAlignment="0" applyProtection="0"/>
    <xf numFmtId="0" fontId="3" fillId="3" borderId="1" applyNumberFormat="0" applyAlignment="0" applyProtection="0"/>
    <xf numFmtId="0" fontId="4" fillId="3" borderId="2" applyNumberFormat="0" applyAlignment="0" applyProtection="0"/>
    <xf numFmtId="0" fontId="5" fillId="3" borderId="3" applyNumberFormat="0" applyAlignment="0" applyProtection="0"/>
    <xf numFmtId="0" fontId="5" fillId="3" borderId="0" applyNumberFormat="0" applyAlignment="0" applyProtection="0"/>
    <xf numFmtId="0" fontId="7" fillId="4" borderId="5" applyNumberFormat="0" applyAlignment="0" applyProtection="0"/>
    <xf numFmtId="0" fontId="8" fillId="3" borderId="5" applyNumberFormat="0" applyAlignment="0" applyProtection="0"/>
    <xf numFmtId="0" fontId="5" fillId="3" borderId="4" applyNumberFormat="0" applyAlignment="0" applyProtection="0"/>
  </cellStyleXfs>
  <cellXfs count="24">
    <xf numFmtId="0" fontId="0" fillId="3" borderId="5" xfId="0"/>
    <xf numFmtId="0" fontId="0" fillId="3" borderId="5" xfId="0" pivotButton="1"/>
    <xf numFmtId="0" fontId="0" fillId="3" borderId="5" xfId="0" applyAlignment="1">
      <alignment horizontal="left"/>
    </xf>
    <xf numFmtId="0" fontId="2" fillId="3" borderId="5" xfId="0" applyFont="1"/>
    <xf numFmtId="18" fontId="0" fillId="3" borderId="5" xfId="0" applyNumberFormat="1"/>
    <xf numFmtId="0" fontId="0" fillId="2" borderId="5" xfId="0" applyFill="1"/>
    <xf numFmtId="0" fontId="0" fillId="5" borderId="5" xfId="0" applyFill="1"/>
    <xf numFmtId="0" fontId="10" fillId="6" borderId="5" xfId="0" applyFont="1" applyFill="1"/>
    <xf numFmtId="0" fontId="0" fillId="6" borderId="5" xfId="0" applyFill="1"/>
    <xf numFmtId="0" fontId="1" fillId="6" borderId="5" xfId="0" applyFont="1" applyFill="1"/>
    <xf numFmtId="0" fontId="9" fillId="6" borderId="5" xfId="0" applyFont="1" applyFill="1"/>
    <xf numFmtId="46" fontId="0" fillId="3" borderId="5" xfId="0" applyNumberFormat="1"/>
    <xf numFmtId="0" fontId="5" fillId="6" borderId="5" xfId="0" applyFont="1" applyFill="1"/>
    <xf numFmtId="2" fontId="0" fillId="3" borderId="5" xfId="0" applyNumberFormat="1"/>
    <xf numFmtId="0" fontId="0" fillId="3" borderId="8" xfId="0" applyBorder="1"/>
    <xf numFmtId="0" fontId="0" fillId="3" borderId="9" xfId="0" applyBorder="1"/>
    <xf numFmtId="0" fontId="0" fillId="3" borderId="10" xfId="0" applyBorder="1"/>
    <xf numFmtId="0" fontId="11" fillId="3" borderId="6" xfId="0" applyFont="1" applyBorder="1"/>
    <xf numFmtId="0" fontId="11" fillId="3" borderId="5" xfId="0" applyFont="1"/>
    <xf numFmtId="0" fontId="11" fillId="3" borderId="7" xfId="0" applyFont="1" applyBorder="1"/>
    <xf numFmtId="0" fontId="11" fillId="3" borderId="11" xfId="0" applyFont="1" applyBorder="1"/>
    <xf numFmtId="0" fontId="11" fillId="3" borderId="12" xfId="0" applyFont="1" applyBorder="1"/>
    <xf numFmtId="0" fontId="11" fillId="3" borderId="13" xfId="0" applyFont="1" applyBorder="1"/>
    <xf numFmtId="0" fontId="8" fillId="6" borderId="5" xfId="0" applyFont="1" applyFill="1"/>
  </cellXfs>
  <cellStyles count="9">
    <cellStyle name="Explanatory Text" xfId="7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Note" xfId="6" builtinId="10" customBuiltin="1"/>
    <cellStyle name="Title" xfId="1" builtinId="15" customBuiltin="1"/>
    <cellStyle name="Total" xfId="8" builtinId="25" customBuiltin="1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rgb="FF454545"/>
        </left>
        <right/>
        <top style="thin">
          <color rgb="FF454545"/>
        </top>
        <bottom style="thin">
          <color rgb="FF454545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/>
        <right style="thin">
          <color rgb="FF454545"/>
        </right>
        <top style="thin">
          <color rgb="FF454545"/>
        </top>
        <bottom style="thin">
          <color rgb="FF454545"/>
        </bottom>
      </border>
    </dxf>
    <dxf>
      <border outline="0">
        <top style="thin">
          <color rgb="FF454545"/>
        </top>
      </border>
    </dxf>
    <dxf>
      <border outline="0">
        <left style="thin">
          <color rgb="FF454545"/>
        </left>
        <right style="thin">
          <color rgb="FF454545"/>
        </right>
        <top style="thin">
          <color rgb="FF454545"/>
        </top>
        <bottom style="thin">
          <color rgb="FF454545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border outline="0">
        <bottom style="thin">
          <color rgb="FF454545"/>
        </bottom>
      </border>
    </dxf>
    <dxf>
      <border diagonalUp="0" diagonalDown="0" outline="0">
        <left style="thin">
          <color rgb="FF454545"/>
        </left>
        <right style="thin">
          <color rgb="FF45454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" refreshedDate="45719.985563773145" createdVersion="8" refreshedVersion="8" minRefreshableVersion="3" recordCount="383" xr:uid="{37EA5343-6057-49E5-B20D-350F99BCADBB}">
  <cacheSource type="worksheet">
    <worksheetSource name="unitlist"/>
  </cacheSource>
  <cacheFields count="38">
    <cacheField name="id" numFmtId="0">
      <sharedItems/>
    </cacheField>
    <cacheField name="faction" numFmtId="0">
      <sharedItems/>
    </cacheField>
    <cacheField name="techlevel" numFmtId="0">
      <sharedItems containsSemiMixedTypes="0" containsString="0" containsNumber="1" containsInteger="1" minValue="1" maxValue="3"/>
    </cacheField>
    <cacheField name="name" numFmtId="0">
      <sharedItems count="339">
        <s v="Dragon's Teeth"/>
        <s v="Shark's Teeth"/>
        <s v="Fortification Wall"/>
        <s v="Naval Energy Converter"/>
        <s v="Energy Converter"/>
        <s v="Behemoth"/>
        <s v="Hardened Energy Storage"/>
        <s v="Advanced Sonar Station"/>
        <s v="Hardened Metal Storage"/>
        <s v="Decoy Fusion Reactor"/>
        <s v="Prude"/>
        <s v="Energy Storage"/>
        <s v="Naval Energy Storage"/>
        <s v="Naval Metal Storage"/>
        <s v="Construction Vehicle"/>
        <s v="Sumo"/>
        <s v="Jellyfish"/>
        <s v="Castro"/>
        <s v="Anemone"/>
        <s v="Coral"/>
        <s v="Manta"/>
        <s v="Bedbug"/>
        <s v="SAM"/>
        <s v="Beholder"/>
        <s v="Twin Guard"/>
        <s v="Urchin"/>
        <s v="Welder"/>
        <s v="Brute"/>
        <s v="Twilight"/>
        <s v="Pathfinder"/>
        <s v="Tiger"/>
        <s v="Stout"/>
        <s v="Thug"/>
        <s v="Construction Hovercraft"/>
        <s v="Prophet"/>
        <s v="Mace"/>
        <s v="Voyager"/>
        <s v="Harpoon"/>
        <s v="Beamer"/>
        <s v="Grunt"/>
        <s v="Sentry"/>
        <s v="Guard"/>
        <s v="Shipyard"/>
        <s v="Duck"/>
        <s v="Mammoth"/>
        <s v="Pawn"/>
        <s v="Incisor"/>
        <s v="Trapper"/>
        <s v="Beaver"/>
        <s v="Tumbleweed"/>
        <s v="Shroud"/>
        <s v="Halberd"/>
        <s v="Pounder"/>
        <s v="Aggravator"/>
        <s v="Pincer"/>
        <s v="Turtle"/>
        <s v="Veil"/>
        <s v="Muskrat"/>
        <s v="Garpike"/>
        <s v="Metal Storage"/>
        <s v="Blitz"/>
        <s v="Thor"/>
        <s v="Buccaneer"/>
        <s v="Omen"/>
        <s v="Advanced Metal Extractor"/>
        <s v="Naval Advanced Metal Extractor"/>
        <s v="Shiva"/>
        <s v="Rocketeer"/>
        <s v="Exploiter"/>
        <s v="Poison Arrow"/>
        <s v="Salamander"/>
        <s v="Skyhook"/>
        <s v="Chainsaw"/>
        <s v="Overwatch"/>
        <s v="Centurion"/>
        <s v="Groundhog"/>
        <s v="Shredder"/>
        <s v="Fury"/>
        <s v="Roughneck"/>
        <s v="Cayman"/>
        <s v="Warden"/>
        <s v="Crocodile"/>
        <s v="Ellysaw"/>
        <s v="Watcher"/>
        <s v="Paladin"/>
        <s v="Riptide"/>
        <s v="Devastator"/>
        <s v="Fatboy"/>
        <s v="Eradicator"/>
        <s v="Dragon's Maw"/>
        <s v="Lasher"/>
        <s v="Dolphin"/>
        <s v="Obscurer"/>
        <s v="Condor"/>
        <s v="Construction Bot"/>
        <s v="Whistler"/>
        <s v="Construction Ship"/>
        <s v="Fiend"/>
        <s v="Wind Turbine"/>
        <s v="Phantasm"/>
        <s v="Skater"/>
        <s v="Bermuda"/>
        <s v="Termite"/>
        <s v="Juggernaut"/>
        <s v="Trasher"/>
        <s v="Titan"/>
        <s v="Oracle"/>
        <s v="Marauder"/>
        <s v="Crossbow"/>
        <s v="Karganeth"/>
        <s v="Commander"/>
        <s v="Blizzard"/>
        <s v="Hailstorm"/>
        <s v="Bull"/>
        <s v="Tsunami"/>
        <s v="Umbra"/>
        <s v="Sabre"/>
        <s v="Cormorant"/>
        <s v="Supporter"/>
        <s v="Angler"/>
        <s v="Puffin"/>
        <s v="Tzar"/>
        <s v="Dam Buster"/>
        <s v="Bot Lab"/>
        <s v="Sweeper"/>
        <s v="Monsoon"/>
        <s v="Tidal Generator"/>
        <s v="Horizon"/>
        <s v="Stormbringer"/>
        <s v="Gremlin"/>
        <s v="Lunkhead"/>
        <s v="Deceiver"/>
        <s v="Shellshocker"/>
        <s v="Whirlwind"/>
        <s v="Platypus"/>
        <s v="Birdeater"/>
        <s v="Gorgon"/>
        <s v="Air Repair Pad"/>
        <s v="Webber"/>
        <s v="Cataphract"/>
        <s v="Wolverine"/>
        <s v="Cutlass"/>
        <s v="Slingshot"/>
        <s v="Smuggler"/>
        <s v="Consul"/>
        <s v="Janus"/>
        <s v="Brimstone"/>
        <s v="Hound"/>
        <s v="Herring"/>
        <s v="Naval Nettle"/>
        <s v="Wasp"/>
        <s v="Hephaestus"/>
        <s v="Corsair"/>
        <s v="Thistle"/>
        <s v="Naval Hovercraft Platform"/>
        <s v="Hovercraft Platform"/>
        <s v="Vehicle Plant"/>
        <s v="Nettle"/>
        <s v="Pit Bull"/>
        <s v="Oppressor"/>
        <s v="Scorpion"/>
        <s v="Stiletto"/>
        <s v="Twitcher"/>
        <s v="Augur"/>
        <s v="Dragon's Claw"/>
        <s v="Dragonslayer"/>
        <s v="Arrow Storm"/>
        <s v="Stork"/>
        <s v="Metal Extractor"/>
        <s v="Maelstrom"/>
        <s v="Geothermal Powerplant"/>
        <s v="Juno"/>
        <s v="Hercules"/>
        <s v="Nemesis"/>
        <s v="Tracer"/>
        <s v="Advanced Construction Vehicle"/>
        <s v="Ferret"/>
        <s v="Abductor"/>
        <s v="Sprinter"/>
        <s v="Banshee"/>
        <s v="Tick"/>
        <s v="Haven"/>
        <s v="Oasis"/>
        <s v="Compass"/>
        <s v="Razorback"/>
        <s v="Recluse"/>
        <s v="Seeker"/>
        <s v="Goon"/>
        <s v="Mauser"/>
        <s v="Osprey"/>
        <s v="Sneaky Pete"/>
        <s v="Dragon"/>
        <s v="Despot"/>
        <s v="Advanced Exploiter"/>
        <s v="Advanced Solar Collector"/>
        <s v="Jaguar"/>
        <s v="Bulwark"/>
        <s v="Construction Seaplane"/>
        <s v="Possum"/>
        <s v="Demon"/>
        <s v="Quaker"/>
        <s v="Catalyst"/>
        <s v="Black Hydra"/>
        <s v="Epoch"/>
        <s v="Rascal"/>
        <s v="Rover"/>
        <s v="Moray"/>
        <s v="Advanced Geothermal Powerplant"/>
        <s v="Mangonel"/>
        <s v="Dreadnought"/>
        <s v="Cerberus"/>
        <s v="Construction Turret"/>
        <s v="Lamprey"/>
        <s v="Highwind"/>
        <s v="Pinpointer"/>
        <s v="Vanguard"/>
        <s v="Aircraft Plant"/>
        <s v="Banisher"/>
        <s v="Agitator"/>
        <s v="Barracuda"/>
        <s v="Cyclone"/>
        <s v="Bat"/>
        <s v="Gauntlet"/>
        <s v="Naval Construction Turret"/>
        <s v="Citadel"/>
        <s v="Prevailer"/>
        <s v="Hornet"/>
        <s v="Gunslinger"/>
        <s v="Solar Collector"/>
        <s v="Starlight"/>
        <s v="Amphibious Complex"/>
        <s v="Spectre"/>
        <s v="Sheldon"/>
        <s v="Falcon"/>
        <s v="Naval Arbalest"/>
        <s v="Naval Birdshot"/>
        <s v="Ghost"/>
        <s v="Predator"/>
        <s v="Manticore"/>
        <s v="Archangel"/>
        <s v="Birdshot"/>
        <s v="Advanced Construction Bot"/>
        <s v="Nighthawk"/>
        <s v="Valiant"/>
        <s v="Arbalest"/>
        <s v="Experimental Gantry"/>
        <s v="Death Cavalry"/>
        <s v="Paralyzer"/>
        <s v="Kraken"/>
        <s v="Naval Pinpointer"/>
        <s v="Grim Reaper"/>
        <s v="Serpent"/>
        <s v="Finch"/>
        <s v="Eel"/>
        <s v="Advanced Shipyard"/>
        <s v="Orca"/>
        <s v="Advanced Vehicle Plant"/>
        <s v="Pulsar"/>
        <s v="Blink"/>
        <s v="Persecutor"/>
        <s v="Lazarus"/>
        <s v="Graverobber"/>
        <s v="Longbow"/>
        <s v="Messenger"/>
        <s v="Tremor"/>
        <s v="Rattlesnake"/>
        <s v="Butler"/>
        <s v="Advanced Construction Sub"/>
        <s v="Negotiator"/>
        <s v="Light Mine"/>
        <s v="Seaplane Platform"/>
        <s v="Advanced Bot Lab"/>
        <s v="Advanced Energy Converter"/>
        <s v="Naval Advanced Energy Converter"/>
        <s v="Radar Tower"/>
        <s v="Shuriken"/>
        <s v="Construction Aircraft"/>
        <s v="Armada Commander"/>
        <s v="Cortex Commander"/>
        <s v="Ambassador"/>
        <s v="Commando"/>
        <s v="Catapult"/>
        <s v="Advanced Aircraft Plant"/>
        <s v="Keeper"/>
        <s v="Fusion Reactor"/>
        <s v="Overseer"/>
        <s v="Naval Fusion Reactor"/>
        <s v="Liche"/>
        <s v="Mercury"/>
        <s v="Basilisk"/>
        <s v="Arbiter"/>
        <s v="Screamer"/>
        <s v="Basilica"/>
        <s v="Advanced Fusion Reactor"/>
        <s v="Cloakable Fusion Reactor"/>
        <s v="Naval Radar / Sonar Tower"/>
        <s v="Sharpshooter"/>
        <s v="Apocalypse"/>
        <s v="Umbrella"/>
        <s v="Armageddon"/>
        <s v="Saviour"/>
        <s v="Advanced Radar Tower"/>
        <s v="Advanced Construction Aircraft"/>
        <s v="Calamity"/>
        <s v="Skuttle"/>
        <s v="Ragnarok"/>
        <s v="Medium Mine"/>
        <s v="Heavy Mine"/>
        <s v="Armada Nuke"/>
        <s v="Cortex Nuke"/>
        <s v="Lunchbox" u="1"/>
        <s v="Laser Tiger" u="1"/>
        <s v="Flying Black Hydra" u="1"/>
        <s v="Epic Recluse" u="1"/>
        <s v="Epic Supporter" u="1"/>
        <s v="Epic Liche" u="1"/>
        <s v="Epic Skater" u="1"/>
        <s v="Epic Dolphin" u="1"/>
        <s v="Epic Dragon" u="1"/>
        <s v="Flying Drone Carrier" u="1"/>
        <s v="Forge" u="1"/>
        <s v="Epic Tumbleweed" u="1"/>
        <s v="Ratte" u="1"/>
        <s v="Tzara" u="1"/>
        <s v="Epic Tzar" u="1"/>
        <s v="Epic Karganeth" u="1"/>
        <s v="Flamethrower Ship" u="1"/>
        <s v="Lightning Ship" u="1"/>
        <s v="Centaur" u="1"/>
        <s v="Meatball" u="1"/>
        <s v="Flying Epoch" u="1"/>
        <s v="Epic Pawn" u="1"/>
        <s v="Assimilator" u="1"/>
        <s v="Epic Serpent" u="1"/>
        <s v="Epic Grunt" u="1"/>
        <s v="T2 Support Ship" u="1"/>
        <s v="Epic Stormbringer" u="1"/>
        <s v="Epic Ellysaw" u="1"/>
        <s v="Basilisk Ship" u="1"/>
      </sharedItems>
    </cacheField>
    <cacheField name="tooltip" numFmtId="0">
      <sharedItems/>
    </cacheField>
    <cacheField name="description" numFmtId="0">
      <sharedItems containsBlank="1"/>
    </cacheField>
    <cacheField name="radaricon" numFmtId="0">
      <sharedItems containsBlank="1"/>
    </cacheField>
    <cacheField name="height" numFmtId="0">
      <sharedItems containsString="0" containsBlank="1" containsNumber="1" containsInteger="1" minValue="3" maxValue="160"/>
    </cacheField>
    <cacheField name="metalcost" numFmtId="0">
      <sharedItems containsSemiMixedTypes="0" containsString="0" containsNumber="1" containsInteger="1" minValue="1" maxValue="70000"/>
    </cacheField>
    <cacheField name="energycost" numFmtId="0">
      <sharedItems containsSemiMixedTypes="0" containsString="0" containsNumber="1" containsInteger="1" minValue="0" maxValue="830000"/>
    </cacheField>
    <cacheField name="buildtime" numFmtId="0">
      <sharedItems containsSemiMixedTypes="0" containsString="0" containsNumber="1" containsInteger="1" minValue="100" maxValue="1400000"/>
    </cacheField>
    <cacheField name="metalmake" numFmtId="0">
      <sharedItems containsString="0" containsBlank="1" containsNumber="1" containsInteger="1" minValue="0" maxValue="2"/>
    </cacheField>
    <cacheField name="energymake" numFmtId="0">
      <sharedItems containsString="0" containsBlank="1" containsNumber="1" containsInteger="1" minValue="0" maxValue="3000"/>
    </cacheField>
    <cacheField name="buildpower" numFmtId="0">
      <sharedItems containsString="0" containsBlank="1" containsNumber="1" containsInteger="1" minValue="0" maxValue="1000"/>
    </cacheField>
    <cacheField name="speed" numFmtId="0">
      <sharedItems containsString="0" containsBlank="1" containsNumber="1" containsInteger="1" minValue="0" maxValue="380"/>
    </cacheField>
    <cacheField name="health" numFmtId="0">
      <sharedItems containsString="0" containsBlank="1" containsNumber="1" containsInteger="1" minValue="11" maxValue="335000"/>
    </cacheField>
    <cacheField name="Health/Metal" numFmtId="0">
      <sharedItems containsString="0" containsBlank="1" containsNumber="1" minValue="0" maxValue="350"/>
    </cacheField>
    <cacheField name="amphib" numFmtId="0">
      <sharedItems containsString="0" containsBlank="1" containsNumber="1" containsInteger="1" minValue="1" maxValue="1"/>
    </cacheField>
    <cacheField name="sub" numFmtId="0">
      <sharedItems containsString="0" containsBlank="1" containsNumber="1" containsInteger="1" minValue="1" maxValue="1"/>
    </cacheField>
    <cacheField name="air" numFmtId="0">
      <sharedItems containsString="0" containsBlank="1" containsNumber="1" containsInteger="1" minValue="1" maxValue="1"/>
    </cacheField>
    <cacheField name="hover" numFmtId="0">
      <sharedItems containsString="0" containsBlank="1" containsNumber="1" containsInteger="1" minValue="1" maxValue="1"/>
    </cacheField>
    <cacheField name="ship" numFmtId="0">
      <sharedItems containsString="0" containsBlank="1" containsNumber="1" containsInteger="1" minValue="1" maxValue="1"/>
    </cacheField>
    <cacheField name="tank" numFmtId="0">
      <sharedItems containsNonDate="0" containsString="0" containsBlank="1"/>
    </cacheField>
    <cacheField name="bot" numFmtId="0">
      <sharedItems containsNonDate="0" containsString="0" containsBlank="1"/>
    </cacheField>
    <cacheField name="building" numFmtId="0">
      <sharedItems containsString="0" containsBlank="1" containsNumber="1" containsInteger="1" minValue="1" maxValue="1"/>
    </cacheField>
    <cacheField name="dps" numFmtId="0">
      <sharedItems containsString="0" containsBlank="1" containsNumber="1" containsInteger="1" minValue="0" maxValue="111498"/>
    </cacheField>
    <cacheField name="weaponrange" numFmtId="0">
      <sharedItems containsString="0" containsBlank="1" containsNumber="1" containsInteger="1" minValue="0" maxValue="72000"/>
    </cacheField>
    <cacheField name="jammerrange" numFmtId="0">
      <sharedItems containsString="0" containsBlank="1" containsNumber="1" containsInteger="1" minValue="8" maxValue="980"/>
    </cacheField>
    <cacheField name="sonarrange" numFmtId="0">
      <sharedItems containsString="0" containsBlank="1" containsNumber="1" containsInteger="1" minValue="150" maxValue="1600"/>
    </cacheField>
    <cacheField name="radarrange" numFmtId="0">
      <sharedItems containsString="0" containsBlank="1" containsNumber="1" containsInteger="1" minValue="50" maxValue="3500"/>
    </cacheField>
    <cacheField name="sightrange" numFmtId="0">
      <sharedItems containsString="0" containsBlank="1" containsNumber="1" containsInteger="1" minValue="1" maxValue="1275"/>
    </cacheField>
    <cacheField name="airsightrange" numFmtId="0">
      <sharedItems containsString="0" containsBlank="1" containsNumber="1" containsInteger="1" minValue="2" maxValue="2400"/>
    </cacheField>
    <cacheField name="specials" numFmtId="0">
      <sharedItems containsBlank="1"/>
    </cacheField>
    <cacheField name="weapons" numFmtId="0">
      <sharedItems containsBlank="1"/>
    </cacheField>
    <cacheField name="buildoptions" numFmtId="0">
      <sharedItems containsBlank="1" longText="1"/>
    </cacheField>
    <cacheField name="buildable" numFmtId="0">
      <sharedItems containsString="0" containsBlank="1" containsNumber="1" containsInteger="1" minValue="0" maxValue="1"/>
    </cacheField>
    <cacheField name="file" numFmtId="0">
      <sharedItems containsBlank="1"/>
    </cacheField>
    <cacheField name="Column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s v="armdrag"/>
    <s v="ARM"/>
    <n v="1"/>
    <x v="0"/>
    <s v="Fortification"/>
    <s v=""/>
    <s v="wall_0.4"/>
    <n v="18"/>
    <n v="8"/>
    <n v="0"/>
    <n v="255"/>
    <n v="0"/>
    <n v="0"/>
    <n v="0"/>
    <n v="0"/>
    <n v="2800"/>
    <n v="350"/>
    <m/>
    <m/>
    <m/>
    <m/>
    <m/>
    <m/>
    <m/>
    <n v="1"/>
    <n v="0"/>
    <n v="0"/>
    <m/>
    <m/>
    <m/>
    <n v="1"/>
    <n v="2"/>
    <s v=""/>
    <s v=""/>
    <s v=""/>
    <n v="1"/>
    <s v="ArmBuildings/LandUtil/armdrag.lua"/>
    <s v=""/>
  </r>
  <r>
    <s v="cordrag"/>
    <s v="CORE"/>
    <n v="1"/>
    <x v="0"/>
    <s v="Fortification"/>
    <s v=""/>
    <s v="wall_0.4"/>
    <n v="10"/>
    <n v="8"/>
    <n v="0"/>
    <n v="255"/>
    <n v="0"/>
    <n v="0"/>
    <n v="0"/>
    <n v="0"/>
    <n v="2800"/>
    <n v="350"/>
    <m/>
    <m/>
    <m/>
    <m/>
    <m/>
    <m/>
    <m/>
    <n v="1"/>
    <n v="0"/>
    <n v="0"/>
    <m/>
    <m/>
    <m/>
    <n v="1"/>
    <n v="2"/>
    <s v=""/>
    <s v=""/>
    <s v=""/>
    <n v="1"/>
    <s v="CorBuildings/LandUtil/cordrag.lua"/>
    <s v=""/>
  </r>
  <r>
    <s v="armfdrag"/>
    <s v="ARM"/>
    <n v="1"/>
    <x v="1"/>
    <s v="Naval Fortification"/>
    <s v=""/>
    <s v="wall_0.4"/>
    <n v="13"/>
    <n v="15"/>
    <n v="0"/>
    <n v="370"/>
    <n v="0"/>
    <n v="0"/>
    <n v="0"/>
    <n v="0"/>
    <n v="4450"/>
    <n v="296.66666666666669"/>
    <m/>
    <m/>
    <m/>
    <m/>
    <m/>
    <m/>
    <m/>
    <n v="1"/>
    <n v="0"/>
    <n v="0"/>
    <m/>
    <m/>
    <m/>
    <n v="1"/>
    <n v="2"/>
    <s v=""/>
    <s v=""/>
    <s v=""/>
    <n v="1"/>
    <s v="ArmBuildings/SeaUtil/armfdrag.lua"/>
    <s v=""/>
  </r>
  <r>
    <s v="corfdrag"/>
    <s v="CORE"/>
    <n v="1"/>
    <x v="1"/>
    <s v="Naval Fortification"/>
    <s v=""/>
    <s v="wall_0.4"/>
    <n v="29"/>
    <n v="15"/>
    <n v="0"/>
    <n v="400"/>
    <n v="0"/>
    <n v="0"/>
    <n v="0"/>
    <n v="0"/>
    <n v="4450"/>
    <n v="296.66666666666669"/>
    <m/>
    <m/>
    <m/>
    <m/>
    <m/>
    <m/>
    <m/>
    <n v="1"/>
    <n v="0"/>
    <n v="0"/>
    <m/>
    <m/>
    <m/>
    <n v="1"/>
    <n v="2"/>
    <s v=""/>
    <s v=""/>
    <s v=""/>
    <n v="1"/>
    <s v="CorBuildings/SeaUtil/corfdrag.lua"/>
    <s v=""/>
  </r>
  <r>
    <s v="armfort"/>
    <s v="ARM"/>
    <n v="2"/>
    <x v="2"/>
    <s v="Advanced Fortification"/>
    <s v=""/>
    <s v="wall_0.4"/>
    <n v="47"/>
    <n v="40"/>
    <n v="500"/>
    <n v="900"/>
    <n v="0"/>
    <n v="0"/>
    <n v="0"/>
    <n v="0"/>
    <n v="8900"/>
    <n v="222.5"/>
    <m/>
    <m/>
    <m/>
    <m/>
    <m/>
    <m/>
    <m/>
    <n v="1"/>
    <n v="0"/>
    <n v="0"/>
    <m/>
    <m/>
    <m/>
    <n v="1"/>
    <n v="2"/>
    <s v=""/>
    <s v=""/>
    <s v=""/>
    <n v="1"/>
    <s v="ArmBuildings/LandUtil/armfort.lua"/>
    <s v=""/>
  </r>
  <r>
    <s v="corfort"/>
    <s v="CORE"/>
    <n v="2"/>
    <x v="2"/>
    <s v="Advanced Fortification"/>
    <s v=""/>
    <s v="wall_0.4"/>
    <n v="55"/>
    <n v="40"/>
    <n v="500"/>
    <n v="900"/>
    <n v="0"/>
    <n v="0"/>
    <n v="0"/>
    <n v="0"/>
    <n v="8900"/>
    <n v="222.5"/>
    <m/>
    <m/>
    <m/>
    <m/>
    <m/>
    <m/>
    <m/>
    <n v="1"/>
    <n v="0"/>
    <n v="0"/>
    <m/>
    <m/>
    <m/>
    <n v="1"/>
    <n v="2"/>
    <s v=""/>
    <s v=""/>
    <s v=""/>
    <n v="1"/>
    <s v="CorBuildings/LandUtil/corfort.lua"/>
    <s v=""/>
  </r>
  <r>
    <s v="armfmkr"/>
    <s v="ARM"/>
    <n v="1"/>
    <x v="3"/>
    <s v="Converts 70 energy into 1 metal per sec"/>
    <s v=""/>
    <s v="metalmaker_t1"/>
    <n v="23"/>
    <n v="1"/>
    <n v="1150"/>
    <n v="2600"/>
    <n v="0"/>
    <n v="0"/>
    <n v="0"/>
    <n v="0"/>
    <n v="167"/>
    <n v="167"/>
    <m/>
    <m/>
    <m/>
    <m/>
    <m/>
    <m/>
    <m/>
    <n v="1"/>
    <n v="0"/>
    <n v="0"/>
    <m/>
    <m/>
    <m/>
    <n v="273"/>
    <n v="410"/>
    <s v=""/>
    <s v=""/>
    <s v=""/>
    <n v="1"/>
    <s v="ArmBuildings/SeaEconomy/armfmkr.lua"/>
    <s v=""/>
  </r>
  <r>
    <s v="armmakr"/>
    <s v="ARM"/>
    <n v="1"/>
    <x v="4"/>
    <s v="Converts 70 energy into 1 metal per sec"/>
    <s v=""/>
    <s v="metalmaker_t1"/>
    <n v="23"/>
    <n v="1"/>
    <n v="1150"/>
    <n v="2600"/>
    <n v="0"/>
    <n v="0"/>
    <n v="0"/>
    <n v="0"/>
    <n v="167"/>
    <n v="167"/>
    <m/>
    <m/>
    <m/>
    <m/>
    <m/>
    <m/>
    <m/>
    <n v="1"/>
    <n v="0"/>
    <n v="0"/>
    <m/>
    <m/>
    <m/>
    <n v="273"/>
    <n v="410"/>
    <s v=""/>
    <s v=""/>
    <s v=""/>
    <n v="1"/>
    <s v="ArmBuildings/LandEconomy/armmakr.lua"/>
    <s v=""/>
  </r>
  <r>
    <s v="corfmkr"/>
    <s v="CORE"/>
    <n v="1"/>
    <x v="3"/>
    <s v="Converts 70 energy into 1 metal per sec"/>
    <s v=""/>
    <s v="metalmaker_t1"/>
    <n v="32"/>
    <n v="1"/>
    <n v="1250"/>
    <n v="2680"/>
    <n v="0"/>
    <n v="0"/>
    <n v="0"/>
    <n v="0"/>
    <n v="167"/>
    <n v="167"/>
    <m/>
    <m/>
    <m/>
    <m/>
    <m/>
    <m/>
    <m/>
    <n v="1"/>
    <n v="0"/>
    <n v="0"/>
    <m/>
    <m/>
    <m/>
    <n v="273"/>
    <n v="410"/>
    <s v=""/>
    <s v=""/>
    <s v=""/>
    <n v="1"/>
    <s v="CorBuildings/SeaEconomy/corfmkr.lua"/>
    <s v=""/>
  </r>
  <r>
    <s v="cormakr"/>
    <s v="CORE"/>
    <n v="1"/>
    <x v="4"/>
    <s v="Converts 70 energy into 1 metal per sec"/>
    <s v=""/>
    <s v="metalmaker_t1"/>
    <n v="26"/>
    <n v="1"/>
    <n v="1250"/>
    <n v="2680"/>
    <n v="0"/>
    <n v="0"/>
    <n v="0"/>
    <n v="0"/>
    <n v="167"/>
    <n v="167"/>
    <m/>
    <m/>
    <m/>
    <m/>
    <m/>
    <m/>
    <m/>
    <n v="1"/>
    <n v="0"/>
    <n v="0"/>
    <m/>
    <m/>
    <m/>
    <n v="273"/>
    <n v="410"/>
    <s v=""/>
    <s v=""/>
    <s v=""/>
    <n v="1"/>
    <s v="CorBuildings/LandEconomy/cormakr.lua"/>
    <s v=""/>
  </r>
  <r>
    <s v="corjugg"/>
    <s v="CORE"/>
    <n v="3"/>
    <x v="5"/>
    <s v="(barely) Mobile Heavy Turret"/>
    <s v=""/>
    <s v="juggernaut"/>
    <n v="105"/>
    <n v="20000"/>
    <n v="513000"/>
    <n v="630000"/>
    <n v="0"/>
    <n v="0"/>
    <n v="0"/>
    <n v="17"/>
    <n v="335000"/>
    <n v="16.75"/>
    <m/>
    <m/>
    <m/>
    <m/>
    <m/>
    <m/>
    <m/>
    <m/>
    <n v="1121"/>
    <n v="590"/>
    <m/>
    <m/>
    <m/>
    <n v="720"/>
    <n v="1080"/>
    <s v=""/>
    <s v="3x BeamLaser, DGun"/>
    <s v=""/>
    <n v="1"/>
    <s v="CorGantry/corjugg.lua"/>
    <s v=""/>
  </r>
  <r>
    <s v="coruwadves"/>
    <s v="CORE"/>
    <n v="2"/>
    <x v="6"/>
    <s v="Increases Energy Storage (40000)"/>
    <s v=""/>
    <s v="energystorage_t2"/>
    <n v="43"/>
    <n v="840"/>
    <n v="11000"/>
    <n v="20400"/>
    <n v="0"/>
    <n v="0"/>
    <n v="0"/>
    <n v="0"/>
    <n v="12700"/>
    <n v="15.119047619047619"/>
    <n v="1"/>
    <m/>
    <m/>
    <m/>
    <m/>
    <m/>
    <m/>
    <n v="1"/>
    <n v="0"/>
    <n v="0"/>
    <m/>
    <m/>
    <m/>
    <n v="192"/>
    <n v="288"/>
    <s v=""/>
    <s v=""/>
    <s v=""/>
    <n v="1"/>
    <s v="CorBuildings/SeaEconomy/coruwadves.lua"/>
    <s v=""/>
  </r>
  <r>
    <s v="corason"/>
    <s v="CORE"/>
    <n v="2"/>
    <x v="7"/>
    <s v="Extended Sonar"/>
    <s v=""/>
    <s v="radar_t2"/>
    <n v="12"/>
    <n v="160"/>
    <n v="2400"/>
    <n v="6100"/>
    <n v="0"/>
    <n v="0"/>
    <n v="0"/>
    <n v="0"/>
    <n v="2400"/>
    <n v="15"/>
    <m/>
    <n v="1"/>
    <m/>
    <m/>
    <m/>
    <m/>
    <m/>
    <n v="1"/>
    <n v="0"/>
    <n v="0"/>
    <m/>
    <n v="1600"/>
    <m/>
    <n v="210"/>
    <n v="315"/>
    <s v=""/>
    <s v=""/>
    <s v=""/>
    <n v="1"/>
    <s v="CorBuildings/SeaUtil/corason.lua"/>
    <s v=""/>
  </r>
  <r>
    <s v="coruwadvms"/>
    <s v="CORE"/>
    <n v="2"/>
    <x v="8"/>
    <s v="Increases Metal Storage (10000)"/>
    <s v=""/>
    <s v="metalstorage_t2"/>
    <n v="45"/>
    <n v="760"/>
    <n v="11000"/>
    <n v="20500"/>
    <n v="0"/>
    <n v="0"/>
    <n v="0"/>
    <n v="0"/>
    <n v="11200"/>
    <n v="14.736842105263158"/>
    <n v="1"/>
    <m/>
    <m/>
    <m/>
    <m/>
    <m/>
    <m/>
    <n v="1"/>
    <n v="0"/>
    <n v="0"/>
    <m/>
    <m/>
    <m/>
    <n v="182"/>
    <n v="273"/>
    <s v=""/>
    <s v=""/>
    <s v=""/>
    <n v="1"/>
    <s v="CorBuildings/SeaEconomy/coruwadvms.lua"/>
    <s v=""/>
  </r>
  <r>
    <s v="armuwadves"/>
    <s v="ARM"/>
    <n v="2"/>
    <x v="6"/>
    <s v="Increases Energy Storage (40000)"/>
    <s v=""/>
    <s v="energystorage_t2"/>
    <n v="41"/>
    <n v="830"/>
    <n v="10000"/>
    <n v="20300"/>
    <n v="0"/>
    <n v="0"/>
    <n v="0"/>
    <n v="0"/>
    <n v="11700"/>
    <n v="14.096385542168674"/>
    <n v="1"/>
    <m/>
    <m/>
    <m/>
    <m/>
    <m/>
    <m/>
    <n v="1"/>
    <n v="0"/>
    <n v="0"/>
    <m/>
    <m/>
    <m/>
    <n v="169"/>
    <n v="254"/>
    <s v=""/>
    <s v=""/>
    <s v=""/>
    <n v="1"/>
    <s v="ArmBuildings/SeaEconomy/armuwadves.lua"/>
    <s v=""/>
  </r>
  <r>
    <s v="armdf"/>
    <s v="ARM"/>
    <n v="2"/>
    <x v="9"/>
    <s v="Does not produce Energy, used to confuse the enemy"/>
    <s v=""/>
    <s v="fusion"/>
    <n v="64"/>
    <n v="370"/>
    <n v="100"/>
    <n v="7500"/>
    <n v="0"/>
    <n v="0"/>
    <n v="0"/>
    <n v="0"/>
    <n v="5200"/>
    <n v="14.054054054054054"/>
    <m/>
    <m/>
    <m/>
    <m/>
    <m/>
    <m/>
    <m/>
    <n v="1"/>
    <n v="0"/>
    <n v="0"/>
    <m/>
    <m/>
    <m/>
    <n v="210"/>
    <n v="315"/>
    <s v=""/>
    <s v=""/>
    <s v=""/>
    <n v="1"/>
    <s v="ArmBuildings/LandUtil/armdf.lua"/>
    <s v=""/>
  </r>
  <r>
    <s v="armason"/>
    <s v="ARM"/>
    <n v="2"/>
    <x v="7"/>
    <s v="Extended Sonar"/>
    <s v=""/>
    <s v="radar_t2"/>
    <n v="53"/>
    <n v="170"/>
    <n v="2600"/>
    <n v="6150"/>
    <n v="0"/>
    <n v="0"/>
    <n v="0"/>
    <n v="0"/>
    <n v="2350"/>
    <n v="13.823529411764707"/>
    <m/>
    <n v="1"/>
    <m/>
    <m/>
    <m/>
    <m/>
    <m/>
    <n v="1"/>
    <n v="0"/>
    <n v="0"/>
    <m/>
    <n v="1600"/>
    <m/>
    <n v="215"/>
    <n v="323"/>
    <s v=""/>
    <s v=""/>
    <s v=""/>
    <n v="1"/>
    <s v="ArmBuildings/SeaUtil/armason.lua"/>
    <s v=""/>
  </r>
  <r>
    <s v="armuwadvms"/>
    <s v="ARM"/>
    <n v="2"/>
    <x v="8"/>
    <s v="Increases Metal Storage (10000)"/>
    <s v=""/>
    <s v="metalstorage_t2"/>
    <n v="28"/>
    <n v="750"/>
    <n v="11500"/>
    <n v="20400"/>
    <n v="0"/>
    <n v="0"/>
    <n v="0"/>
    <n v="0"/>
    <n v="10300"/>
    <n v="13.733333333333333"/>
    <n v="1"/>
    <m/>
    <m/>
    <m/>
    <m/>
    <m/>
    <m/>
    <n v="1"/>
    <n v="0"/>
    <n v="0"/>
    <m/>
    <m/>
    <m/>
    <n v="195"/>
    <n v="293"/>
    <s v=""/>
    <s v=""/>
    <s v=""/>
    <n v="1"/>
    <s v="ArmBuildings/SeaEconomy/armuwadvms.lua"/>
    <s v=""/>
  </r>
  <r>
    <s v="armgmm"/>
    <s v="ARM"/>
    <n v="2"/>
    <x v="10"/>
    <s v="Safe Geothermal Powerplant, produces 750 Energy"/>
    <s v=""/>
    <s v="energy_geo_safe"/>
    <n v="39"/>
    <n v="1150"/>
    <n v="25000"/>
    <n v="41500"/>
    <n v="0"/>
    <n v="750"/>
    <n v="0"/>
    <n v="0"/>
    <n v="13900"/>
    <n v="12.086956521739131"/>
    <m/>
    <m/>
    <m/>
    <m/>
    <m/>
    <m/>
    <m/>
    <n v="1"/>
    <n v="0"/>
    <n v="0"/>
    <m/>
    <m/>
    <m/>
    <n v="273"/>
    <n v="410"/>
    <s v=""/>
    <s v=""/>
    <s v=""/>
    <n v="1"/>
    <s v="ArmBuildings/LandEconomy/armgmm.lua"/>
    <s v=""/>
  </r>
  <r>
    <s v="corestor"/>
    <s v="CORE"/>
    <n v="1"/>
    <x v="11"/>
    <s v="Increases Energy Storage (6000)"/>
    <s v=""/>
    <s v="energystorage"/>
    <n v="42"/>
    <n v="175"/>
    <n v="1800"/>
    <n v="4260"/>
    <n v="0"/>
    <n v="0"/>
    <n v="0"/>
    <n v="0"/>
    <n v="2000"/>
    <n v="11.428571428571429"/>
    <m/>
    <m/>
    <m/>
    <m/>
    <m/>
    <m/>
    <m/>
    <n v="1"/>
    <n v="0"/>
    <n v="0"/>
    <m/>
    <m/>
    <m/>
    <n v="273"/>
    <n v="410"/>
    <s v=""/>
    <s v=""/>
    <s v=""/>
    <n v="1"/>
    <s v="CorBuildings/LandEconomy/corestor.lua"/>
    <s v=""/>
  </r>
  <r>
    <s v="coruwes"/>
    <s v="CORE"/>
    <n v="1"/>
    <x v="12"/>
    <s v="Increases Energy Storage (6000)"/>
    <s v=""/>
    <s v="energystorage"/>
    <n v="31"/>
    <n v="175"/>
    <n v="1800"/>
    <n v="4260"/>
    <n v="0"/>
    <n v="0"/>
    <n v="0"/>
    <n v="0"/>
    <n v="2000"/>
    <n v="11.428571428571429"/>
    <m/>
    <n v="1"/>
    <m/>
    <m/>
    <m/>
    <m/>
    <m/>
    <n v="1"/>
    <n v="0"/>
    <n v="0"/>
    <m/>
    <m/>
    <m/>
    <n v="169"/>
    <n v="254"/>
    <s v=""/>
    <s v=""/>
    <s v=""/>
    <n v="1"/>
    <s v="CorBuildings/SeaEconomy/coruwes.lua"/>
    <s v=""/>
  </r>
  <r>
    <s v="armestor"/>
    <s v="ARM"/>
    <n v="1"/>
    <x v="11"/>
    <s v="Increases Energy Storage (6000)"/>
    <s v=""/>
    <s v="energystorage"/>
    <n v="44"/>
    <n v="170"/>
    <n v="1700"/>
    <n v="4110"/>
    <n v="0"/>
    <n v="0"/>
    <n v="0"/>
    <n v="0"/>
    <n v="1890"/>
    <n v="11.117647058823529"/>
    <m/>
    <m/>
    <m/>
    <m/>
    <m/>
    <m/>
    <m/>
    <n v="1"/>
    <n v="0"/>
    <n v="0"/>
    <m/>
    <m/>
    <m/>
    <n v="273"/>
    <n v="410"/>
    <s v=""/>
    <s v=""/>
    <s v=""/>
    <n v="1"/>
    <s v="ArmBuildings/LandEconomy/armestor.lua"/>
    <s v=""/>
  </r>
  <r>
    <s v="armuwes"/>
    <s v="ARM"/>
    <n v="1"/>
    <x v="12"/>
    <s v="Increases Energy Storage (6000)"/>
    <s v=""/>
    <s v="energystorage"/>
    <n v="50"/>
    <n v="170"/>
    <n v="1700"/>
    <n v="4110"/>
    <n v="0"/>
    <n v="0"/>
    <n v="0"/>
    <n v="0"/>
    <n v="1890"/>
    <n v="11.117647058823529"/>
    <m/>
    <n v="1"/>
    <m/>
    <m/>
    <m/>
    <m/>
    <m/>
    <n v="1"/>
    <n v="0"/>
    <n v="0"/>
    <m/>
    <m/>
    <m/>
    <n v="182"/>
    <n v="273"/>
    <s v=""/>
    <s v=""/>
    <s v=""/>
    <n v="1"/>
    <s v="ArmBuildings/SeaEconomy/armuwes.lua"/>
    <s v=""/>
  </r>
  <r>
    <s v="armuwms"/>
    <s v="ARM"/>
    <n v="1"/>
    <x v="13"/>
    <s v="Increases Metal Storage (3000)"/>
    <s v=""/>
    <s v="metalstorage"/>
    <n v="25"/>
    <n v="330"/>
    <n v="570"/>
    <n v="2920"/>
    <n v="0"/>
    <n v="0"/>
    <n v="0"/>
    <n v="0"/>
    <n v="3600"/>
    <n v="10.909090909090908"/>
    <m/>
    <n v="1"/>
    <m/>
    <m/>
    <m/>
    <m/>
    <m/>
    <n v="1"/>
    <n v="0"/>
    <n v="0"/>
    <m/>
    <m/>
    <m/>
    <n v="182"/>
    <n v="273"/>
    <s v=""/>
    <s v=""/>
    <s v=""/>
    <n v="1"/>
    <s v="ArmBuildings/SeaEconomy/armuwms.lua"/>
    <s v=""/>
  </r>
  <r>
    <s v="armcv"/>
    <s v="ARM"/>
    <n v="1"/>
    <x v="14"/>
    <s v="Tech 1 Constructor"/>
    <s v=""/>
    <s v="vehicle_worker"/>
    <n v="28"/>
    <n v="135"/>
    <n v="1950"/>
    <n v="4050"/>
    <n v="0"/>
    <n v="10"/>
    <n v="90"/>
    <n v="54"/>
    <n v="1380"/>
    <n v="10.222222222222221"/>
    <m/>
    <m/>
    <m/>
    <m/>
    <m/>
    <m/>
    <m/>
    <m/>
    <n v="0"/>
    <n v="0"/>
    <m/>
    <m/>
    <n v="50"/>
    <n v="253"/>
    <n v="380"/>
    <s v=""/>
    <s v=""/>
    <s v="armsolar, armadvsol, armwin, armgeo, armmstor, armestor, armmex, armamex, armmakr, armavp, armlab, armvp, armap, armhp, armnanotc, armeyes, armrad, armdrag, armclaw, armllt, armbeamer, armhlt, armguard, armrl, armferret, armcir, armdl, armjamt, armjuno, armsy"/>
    <n v="1"/>
    <s v="ArmVehicles/armcv.lua"/>
    <s v=""/>
  </r>
  <r>
    <s v="corcv"/>
    <s v="CORE"/>
    <n v="1"/>
    <x v="14"/>
    <s v="Tech 1 Constructor"/>
    <s v=""/>
    <s v="vehicle_worker"/>
    <n v="25"/>
    <n v="145"/>
    <n v="2100"/>
    <n v="4160"/>
    <n v="0"/>
    <n v="10"/>
    <n v="90"/>
    <n v="51"/>
    <n v="1430"/>
    <n v="9.862068965517242"/>
    <m/>
    <m/>
    <m/>
    <m/>
    <m/>
    <m/>
    <m/>
    <m/>
    <n v="0"/>
    <n v="0"/>
    <m/>
    <m/>
    <n v="50"/>
    <n v="260"/>
    <n v="390"/>
    <s v=""/>
    <s v=""/>
    <s v="corsolar, coradvsol, corwin, corgeo, cormstor, corestor, cormex, corexp, cormakr, coravp, corlab, corvp, corap, corhp, cornanotc, coreyes, corrad, cordrag, cormaw, corllt, corhllt, corhlt, corpun, corrl, cormadsam, corerad, cordl, corjamt, corjuno, corsy"/>
    <n v="1"/>
    <s v="CorVehicles/corcv.lua"/>
    <s v=""/>
  </r>
  <r>
    <s v="corcan"/>
    <s v="CORE"/>
    <n v="2"/>
    <x v="15"/>
    <s v="Armored Assault Bot"/>
    <s v=""/>
    <s v="corcan"/>
    <n v="37"/>
    <n v="560"/>
    <n v="9300"/>
    <n v="11700"/>
    <n v="0"/>
    <n v="0"/>
    <n v="0"/>
    <n v="38"/>
    <n v="5400"/>
    <n v="9.6428571428571423"/>
    <m/>
    <m/>
    <m/>
    <m/>
    <m/>
    <m/>
    <m/>
    <m/>
    <n v="344"/>
    <n v="275"/>
    <m/>
    <m/>
    <m/>
    <n v="350"/>
    <n v="525"/>
    <s v=""/>
    <s v="BeamLaser"/>
    <s v=""/>
    <n v="1"/>
    <s v="CorBots/T2/corcan.lua"/>
    <s v=""/>
  </r>
  <r>
    <s v="cordl"/>
    <s v="CORE"/>
    <n v="1"/>
    <x v="16"/>
    <s v="Coastal Torpedo Launcher"/>
    <s v=""/>
    <s v="defence_1_naval"/>
    <n v="53"/>
    <n v="250"/>
    <n v="2200"/>
    <n v="6800"/>
    <n v="0"/>
    <n v="0"/>
    <n v="0"/>
    <n v="0"/>
    <n v="2350"/>
    <n v="9.4"/>
    <m/>
    <m/>
    <m/>
    <m/>
    <m/>
    <m/>
    <m/>
    <n v="1"/>
    <n v="150"/>
    <n v="600"/>
    <m/>
    <n v="600"/>
    <m/>
    <n v="611"/>
    <n v="917"/>
    <s v=""/>
    <s v="TorpedoLauncher"/>
    <s v=""/>
    <n v="1"/>
    <s v="CorBuildings/SeaDefence/cordl.lua"/>
    <s v=""/>
  </r>
  <r>
    <s v="corjamt"/>
    <s v="CORE"/>
    <n v="1"/>
    <x v="17"/>
    <s v="Short-Range Jamming Device"/>
    <s v=""/>
    <s v="jammer"/>
    <n v="48"/>
    <n v="115"/>
    <n v="5200"/>
    <n v="4570"/>
    <n v="0"/>
    <n v="0"/>
    <n v="0"/>
    <n v="0"/>
    <n v="1070"/>
    <n v="9.304347826086957"/>
    <m/>
    <m/>
    <m/>
    <m/>
    <m/>
    <m/>
    <m/>
    <n v="1"/>
    <n v="0"/>
    <n v="0"/>
    <n v="360"/>
    <m/>
    <m/>
    <n v="104"/>
    <n v="156"/>
    <s v="jammer"/>
    <s v=""/>
    <s v=""/>
    <n v="1"/>
    <s v="CorBuildings/LandUtil/corjamt.lua"/>
    <s v=""/>
  </r>
  <r>
    <s v="armdl"/>
    <s v="ARM"/>
    <n v="1"/>
    <x v="18"/>
    <s v="Coastal Torpedo Launcher"/>
    <s v=""/>
    <s v="defence_1_naval"/>
    <n v="60"/>
    <n v="240"/>
    <n v="2200"/>
    <n v="6600"/>
    <n v="0"/>
    <n v="0"/>
    <n v="0"/>
    <n v="0"/>
    <n v="2200"/>
    <n v="9.1666666666666661"/>
    <m/>
    <m/>
    <m/>
    <m/>
    <m/>
    <m/>
    <m/>
    <n v="1"/>
    <n v="150"/>
    <n v="600"/>
    <m/>
    <n v="600"/>
    <m/>
    <n v="617"/>
    <n v="926"/>
    <s v=""/>
    <s v="TorpedoLauncher"/>
    <s v=""/>
    <n v="1"/>
    <s v="ArmBuildings/SeaDefence/armdl.lua"/>
    <s v=""/>
  </r>
  <r>
    <s v="corfhlt"/>
    <s v="CORE"/>
    <n v="1"/>
    <x v="19"/>
    <s v="Floating Heavy Laser Tower"/>
    <s v=""/>
    <s v="defence_1_laser"/>
    <n v="39"/>
    <n v="480"/>
    <n v="6200"/>
    <n v="11400"/>
    <n v="0"/>
    <n v="0"/>
    <n v="0"/>
    <n v="0"/>
    <n v="4350"/>
    <n v="9.0625"/>
    <m/>
    <m/>
    <m/>
    <m/>
    <m/>
    <m/>
    <m/>
    <n v="1"/>
    <n v="231"/>
    <n v="630"/>
    <m/>
    <m/>
    <m/>
    <n v="630"/>
    <n v="945"/>
    <s v=""/>
    <s v="BeamLaser"/>
    <s v=""/>
    <n v="1"/>
    <s v="CorBuildings/SeaDefence/corfhlt.lua"/>
    <s v=""/>
  </r>
  <r>
    <s v="armfhlt"/>
    <s v="ARM"/>
    <n v="1"/>
    <x v="20"/>
    <s v="Floating Heavy Laser Tower"/>
    <s v=""/>
    <s v="defence_1_laser"/>
    <n v="64"/>
    <n v="470"/>
    <n v="6200"/>
    <n v="9670"/>
    <n v="0"/>
    <n v="0"/>
    <n v="0"/>
    <n v="0"/>
    <n v="4250"/>
    <n v="9.0425531914893611"/>
    <m/>
    <m/>
    <m/>
    <m/>
    <m/>
    <m/>
    <m/>
    <n v="1"/>
    <n v="233"/>
    <n v="630"/>
    <m/>
    <m/>
    <m/>
    <n v="630"/>
    <n v="945"/>
    <s v=""/>
    <s v="BeamLaser"/>
    <s v=""/>
    <n v="1"/>
    <s v="ArmBuildings/SeaDefence/armfhlt.lua"/>
    <s v=""/>
  </r>
  <r>
    <s v="corroach"/>
    <s v="CORE"/>
    <n v="2"/>
    <x v="21"/>
    <s v="Amphibious Crawling Bomb"/>
    <s v=""/>
    <s v="corroach_0.9"/>
    <n v="3"/>
    <n v="69"/>
    <n v="5800"/>
    <n v="7900"/>
    <n v="0"/>
    <n v="0"/>
    <n v="0"/>
    <n v="76"/>
    <n v="620"/>
    <n v="8.9855072463768124"/>
    <n v="1"/>
    <m/>
    <m/>
    <m/>
    <m/>
    <m/>
    <m/>
    <m/>
    <n v="2000"/>
    <n v="42"/>
    <m/>
    <m/>
    <m/>
    <n v="260"/>
    <n v="390"/>
    <s v=""/>
    <s v="Melee, Cannon"/>
    <s v=""/>
    <n v="1"/>
    <s v="CorBots/T2/corroach.lua"/>
    <s v=""/>
  </r>
  <r>
    <s v="cormadsam"/>
    <s v="CORE"/>
    <n v="1"/>
    <x v="22"/>
    <s v="Hardened Anti-Air Missile Battery"/>
    <s v=""/>
    <s v="aa_t15"/>
    <n v="35"/>
    <n v="315"/>
    <n v="6100"/>
    <n v="5240"/>
    <n v="0"/>
    <n v="0"/>
    <n v="0"/>
    <n v="0"/>
    <n v="2800"/>
    <n v="8.8888888888888893"/>
    <m/>
    <m/>
    <m/>
    <m/>
    <m/>
    <m/>
    <m/>
    <n v="1"/>
    <n v="190"/>
    <n v="840"/>
    <m/>
    <m/>
    <m/>
    <n v="375"/>
    <n v="850"/>
    <s v=""/>
    <s v="MissileLauncher"/>
    <s v=""/>
    <n v="1"/>
    <s v="CorBuildings/LandDefenceOffence/cormadsam.lua"/>
    <s v=""/>
  </r>
  <r>
    <s v="armeyes"/>
    <s v="ARM"/>
    <n v="1"/>
    <x v="23"/>
    <s v="Perimeter Camera"/>
    <s v=""/>
    <s v="eye"/>
    <n v="35"/>
    <n v="32"/>
    <n v="850"/>
    <n v="750"/>
    <n v="0"/>
    <n v="0"/>
    <n v="0"/>
    <n v="0"/>
    <n v="280"/>
    <n v="8.75"/>
    <m/>
    <m/>
    <m/>
    <m/>
    <m/>
    <m/>
    <m/>
    <n v="1"/>
    <n v="0"/>
    <n v="0"/>
    <m/>
    <m/>
    <m/>
    <n v="560"/>
    <n v="840"/>
    <s v="cloak, stealth"/>
    <s v=""/>
    <s v=""/>
    <n v="1"/>
    <s v="ArmBuildings/LandUtil/armeyes.lua"/>
    <s v=""/>
  </r>
  <r>
    <s v="coreyes"/>
    <s v="CORE"/>
    <n v="1"/>
    <x v="23"/>
    <s v="Perimeter Camera"/>
    <s v=""/>
    <s v="eye"/>
    <n v="21"/>
    <n v="32"/>
    <n v="850"/>
    <n v="750"/>
    <n v="0"/>
    <n v="0"/>
    <n v="0"/>
    <n v="0"/>
    <n v="280"/>
    <n v="8.75"/>
    <m/>
    <m/>
    <m/>
    <m/>
    <m/>
    <m/>
    <m/>
    <n v="1"/>
    <n v="0"/>
    <n v="0"/>
    <m/>
    <m/>
    <m/>
    <n v="540"/>
    <n v="810"/>
    <s v="cloak, stealth"/>
    <s v=""/>
    <s v=""/>
    <n v="1"/>
    <s v="CorBuildings/LandUtil/coreyes.lua"/>
    <s v=""/>
  </r>
  <r>
    <s v="corhllt"/>
    <s v="CORE"/>
    <n v="1"/>
    <x v="24"/>
    <s v="Anti-Swarm Double Guard"/>
    <s v=""/>
    <s v="defence_hllt"/>
    <n v="95"/>
    <n v="195"/>
    <n v="1750"/>
    <n v="5440"/>
    <n v="0"/>
    <n v="0"/>
    <n v="0"/>
    <n v="0"/>
    <n v="1670"/>
    <n v="8.5641025641025639"/>
    <m/>
    <m/>
    <m/>
    <m/>
    <m/>
    <m/>
    <m/>
    <n v="1"/>
    <n v="321"/>
    <n v="480"/>
    <m/>
    <m/>
    <m/>
    <n v="475"/>
    <n v="713"/>
    <s v=""/>
    <s v="2x BeamLaser"/>
    <s v=""/>
    <n v="1"/>
    <s v="CorBuildings/LandDefenceOffence/corhllt.lua"/>
    <s v=""/>
  </r>
  <r>
    <s v="cortl"/>
    <s v="CORE"/>
    <n v="1"/>
    <x v="25"/>
    <s v="Offshore Torpedo Launcher"/>
    <s v=""/>
    <s v="defence_1_naval"/>
    <n v="15"/>
    <n v="170"/>
    <n v="1800"/>
    <n v="3750"/>
    <n v="0"/>
    <n v="0"/>
    <n v="0"/>
    <n v="0"/>
    <n v="1440"/>
    <n v="8.4705882352941178"/>
    <m/>
    <m/>
    <m/>
    <m/>
    <m/>
    <m/>
    <m/>
    <n v="1"/>
    <n v="187"/>
    <n v="500"/>
    <m/>
    <n v="400"/>
    <m/>
    <n v="495"/>
    <n v="743"/>
    <s v=""/>
    <s v="TorpedoLauncher"/>
    <s v=""/>
    <n v="1"/>
    <s v="CorBuildings/SeaDefence/cortl.lua"/>
    <s v=""/>
  </r>
  <r>
    <s v="armzeus"/>
    <s v="ARM"/>
    <n v="2"/>
    <x v="26"/>
    <s v="Assault Bot"/>
    <s v=""/>
    <s v="armzeus_1.28"/>
    <n v="39"/>
    <n v="350"/>
    <n v="6100"/>
    <n v="7250"/>
    <n v="0"/>
    <n v="0"/>
    <n v="0"/>
    <n v="47"/>
    <n v="2950"/>
    <n v="8.4285714285714288"/>
    <m/>
    <m/>
    <m/>
    <m/>
    <m/>
    <m/>
    <m/>
    <m/>
    <n v="129"/>
    <n v="280"/>
    <m/>
    <m/>
    <m/>
    <n v="332"/>
    <n v="497"/>
    <s v=""/>
    <s v="LightningCannon"/>
    <s v=""/>
    <n v="1"/>
    <s v="ArmBots/T2/armzeus.lua"/>
    <s v=""/>
  </r>
  <r>
    <s v="corraid"/>
    <s v="CORE"/>
    <n v="1"/>
    <x v="27"/>
    <s v="Medium Assault Tank"/>
    <s v=""/>
    <s v="vehicle_t1_tank"/>
    <n v="20"/>
    <n v="235"/>
    <n v="2400"/>
    <n v="3310"/>
    <n v="0"/>
    <n v="0"/>
    <n v="0"/>
    <n v="73"/>
    <n v="1970"/>
    <n v="8.3829787234042552"/>
    <m/>
    <m/>
    <m/>
    <m/>
    <m/>
    <m/>
    <m/>
    <m/>
    <n v="83"/>
    <n v="350"/>
    <m/>
    <m/>
    <m/>
    <n v="325"/>
    <n v="488"/>
    <s v=""/>
    <s v="Cannon"/>
    <s v=""/>
    <n v="1"/>
    <s v="CorVehicles/corraid.lua"/>
    <s v=""/>
  </r>
  <r>
    <s v="armamex"/>
    <s v="ARM"/>
    <n v="1"/>
    <x v="28"/>
    <s v="Stealthy Cloakable Metal Extractor"/>
    <s v=""/>
    <s v="mex_t1_emp"/>
    <n v="35"/>
    <n v="200"/>
    <n v="1500"/>
    <n v="1800"/>
    <n v="0"/>
    <n v="0"/>
    <n v="0"/>
    <n v="0"/>
    <n v="1610"/>
    <n v="8.0500000000000007"/>
    <m/>
    <m/>
    <m/>
    <m/>
    <m/>
    <m/>
    <m/>
    <n v="1"/>
    <n v="0"/>
    <n v="0"/>
    <m/>
    <m/>
    <m/>
    <n v="286"/>
    <n v="429"/>
    <s v="cloak, stealth"/>
    <s v=""/>
    <s v=""/>
    <n v="1"/>
    <s v="ArmBuildings/LandEconomy/armamex.lua"/>
    <s v=""/>
  </r>
  <r>
    <s v="cormls"/>
    <s v="CORE"/>
    <n v="2"/>
    <x v="29"/>
    <s v="Naval Engineer"/>
    <s v=""/>
    <s v="shipengineer"/>
    <n v="16"/>
    <n v="200"/>
    <n v="3300"/>
    <n v="4800"/>
    <n v="0"/>
    <n v="0"/>
    <n v="200"/>
    <n v="58"/>
    <n v="1600"/>
    <n v="8"/>
    <m/>
    <m/>
    <m/>
    <m/>
    <n v="1"/>
    <m/>
    <m/>
    <m/>
    <n v="0"/>
    <n v="0"/>
    <m/>
    <m/>
    <m/>
    <n v="300"/>
    <n v="450"/>
    <s v=""/>
    <s v=""/>
    <s v="cortide, cormex, corfrad, corarad, cornanotcplat, corsy, corcs, cortl, corfhlt, corenaa, corpt, coresupp, corroy, corfmine3, cortoast, corfdoom, corfdrag"/>
    <n v="1"/>
    <s v="CorShips/T2/cormls.lua"/>
    <s v=""/>
  </r>
  <r>
    <s v="correap"/>
    <s v="CORE"/>
    <n v="2"/>
    <x v="30"/>
    <s v="Heavy Assault Tank"/>
    <s v=""/>
    <s v="vehicle_t2_tank"/>
    <n v="24"/>
    <n v="665"/>
    <n v="10000"/>
    <n v="11500"/>
    <n v="0"/>
    <n v="0"/>
    <n v="0"/>
    <n v="71"/>
    <n v="5300"/>
    <n v="7.969924812030075"/>
    <m/>
    <m/>
    <m/>
    <m/>
    <m/>
    <m/>
    <m/>
    <m/>
    <n v="156"/>
    <n v="410"/>
    <m/>
    <m/>
    <m/>
    <n v="462"/>
    <n v="693"/>
    <s v=""/>
    <s v="Cannon"/>
    <s v=""/>
    <n v="1"/>
    <s v="CorVehicles/T2/correap.lua"/>
    <s v=""/>
  </r>
  <r>
    <s v="armstump"/>
    <s v="ARM"/>
    <n v="1"/>
    <x v="31"/>
    <s v="Medium Assault Tank"/>
    <s v=""/>
    <s v="vehicle_t1_tank"/>
    <n v="23"/>
    <n v="225"/>
    <n v="2000"/>
    <n v="2900"/>
    <n v="0"/>
    <n v="0"/>
    <n v="0"/>
    <n v="76"/>
    <n v="1780"/>
    <n v="7.9111111111111114"/>
    <m/>
    <m/>
    <m/>
    <m/>
    <m/>
    <m/>
    <m/>
    <m/>
    <n v="83"/>
    <n v="350"/>
    <m/>
    <m/>
    <m/>
    <n v="325"/>
    <n v="488"/>
    <s v=""/>
    <s v="Cannon"/>
    <s v=""/>
    <n v="1"/>
    <s v="ArmVehicles/armstump.lua"/>
    <s v=""/>
  </r>
  <r>
    <s v="corthud"/>
    <s v="CORE"/>
    <n v="1"/>
    <x v="32"/>
    <s v="Light Plasma Bot"/>
    <s v=""/>
    <s v="bot_plasma_t1"/>
    <n v="32"/>
    <n v="140"/>
    <n v="1150"/>
    <n v="2100"/>
    <n v="0"/>
    <n v="0"/>
    <n v="0"/>
    <n v="45"/>
    <n v="1100"/>
    <n v="7.8571428571428568"/>
    <m/>
    <m/>
    <m/>
    <m/>
    <m/>
    <m/>
    <m/>
    <m/>
    <n v="60"/>
    <n v="380"/>
    <m/>
    <m/>
    <m/>
    <n v="380"/>
    <n v="570"/>
    <s v=""/>
    <s v="Cannon"/>
    <s v=""/>
    <n v="1"/>
    <s v="CorBots/corthud.lua"/>
    <s v=""/>
  </r>
  <r>
    <s v="corch"/>
    <s v="CORE"/>
    <n v="1"/>
    <x v="33"/>
    <s v="Tech 1 Constructor"/>
    <s v=""/>
    <s v="hover_worker"/>
    <n v="20"/>
    <n v="190"/>
    <n v="3000"/>
    <n v="4580"/>
    <n v="0"/>
    <n v="11"/>
    <n v="110"/>
    <n v="61"/>
    <n v="1490"/>
    <n v="7.8421052631578947"/>
    <m/>
    <m/>
    <m/>
    <n v="1"/>
    <m/>
    <m/>
    <m/>
    <m/>
    <n v="0"/>
    <n v="0"/>
    <m/>
    <m/>
    <n v="50"/>
    <n v="338"/>
    <n v="507"/>
    <s v=""/>
    <s v=""/>
    <s v="corsolar, coradvsol, corwin, corgeo, cormstor, corestor, cormex, corexp, cormakr, corlab, corvp, corap, corhp, cornanotc, cornanotcplat, coreyes, corrad, cordrag, cormaw, corllt, corhllt, corhlt, corpun, corrl, cormadsam, corerad, cordl, corjamt, corjuno, corfhp, corsy, coramsub, corplat, cortide, corfmkr, coruwms, coruwes, corfdrag, corfrad, corfhlt, corfrt, cortl, coravp, corasy, coruwgeo"/>
    <n v="1"/>
    <s v="CorHovercraft/corch.lua"/>
    <s v=""/>
  </r>
  <r>
    <s v="armseer"/>
    <s v="ARM"/>
    <n v="2"/>
    <x v="34"/>
    <s v="Radar Vehicle"/>
    <s v=""/>
    <s v="vehicle_t2_radar"/>
    <n v="32"/>
    <n v="125"/>
    <n v="2000"/>
    <n v="6200"/>
    <n v="0"/>
    <n v="0"/>
    <n v="0"/>
    <n v="57"/>
    <n v="980"/>
    <n v="7.84"/>
    <m/>
    <m/>
    <m/>
    <m/>
    <m/>
    <m/>
    <m/>
    <m/>
    <n v="0"/>
    <n v="0"/>
    <m/>
    <m/>
    <n v="2300"/>
    <n v="900"/>
    <n v="1350"/>
    <s v="radar"/>
    <s v=""/>
    <s v=""/>
    <n v="1"/>
    <s v="ArmVehicles/T2/armseer.lua"/>
    <s v=""/>
  </r>
  <r>
    <s v="armham"/>
    <s v="ARM"/>
    <n v="1"/>
    <x v="35"/>
    <s v="Light Plasma Bot"/>
    <s v=""/>
    <s v="bot_plasma_t1"/>
    <n v="29"/>
    <n v="130"/>
    <n v="1300"/>
    <n v="2200"/>
    <n v="0"/>
    <n v="0"/>
    <n v="0"/>
    <n v="46"/>
    <n v="1000"/>
    <n v="7.6923076923076925"/>
    <m/>
    <m/>
    <m/>
    <m/>
    <m/>
    <m/>
    <m/>
    <m/>
    <n v="60"/>
    <n v="380"/>
    <m/>
    <m/>
    <m/>
    <n v="380"/>
    <n v="570"/>
    <s v=""/>
    <s v="Cannon"/>
    <s v=""/>
    <n v="1"/>
    <s v="ArmBots/armham.lua"/>
    <s v=""/>
  </r>
  <r>
    <s v="armmls"/>
    <s v="ARM"/>
    <n v="2"/>
    <x v="36"/>
    <s v="Naval Engineer"/>
    <s v=""/>
    <s v="shipengineer"/>
    <n v="13"/>
    <n v="190"/>
    <n v="3200"/>
    <n v="4720"/>
    <n v="0"/>
    <n v="0"/>
    <n v="200"/>
    <n v="66"/>
    <n v="1460"/>
    <n v="7.6842105263157894"/>
    <m/>
    <m/>
    <m/>
    <m/>
    <n v="1"/>
    <m/>
    <m/>
    <m/>
    <n v="0"/>
    <n v="0"/>
    <m/>
    <m/>
    <m/>
    <n v="300"/>
    <n v="450"/>
    <s v=""/>
    <s v=""/>
    <s v="armtide, armmex, armfrad, armarad, armnanotcplat, armsy, armcs, armtl, armfhlt, armfflak, armpt, armdecade, armroy, armamph, armfmine3, armamb, armkraken, armfdrag"/>
    <n v="1"/>
    <s v="ArmShips/T2/armmls.lua"/>
    <s v=""/>
  </r>
  <r>
    <s v="armtl"/>
    <s v="ARM"/>
    <n v="1"/>
    <x v="37"/>
    <s v="Offshore Torpedo Launcher"/>
    <s v=""/>
    <s v="defence_1_naval"/>
    <n v="7"/>
    <n v="170"/>
    <n v="1500"/>
    <n v="3700"/>
    <n v="0"/>
    <n v="0"/>
    <n v="0"/>
    <n v="0"/>
    <n v="1300"/>
    <n v="7.6470588235294121"/>
    <m/>
    <m/>
    <m/>
    <m/>
    <m/>
    <m/>
    <m/>
    <n v="1"/>
    <n v="187"/>
    <n v="500"/>
    <m/>
    <n v="400"/>
    <m/>
    <n v="494"/>
    <n v="741"/>
    <s v=""/>
    <s v="TorpedoLauncher"/>
    <s v=""/>
    <n v="1"/>
    <s v="ArmBuildings/SeaDefence/armtl.lua"/>
    <s v=""/>
  </r>
  <r>
    <s v="armbeamer"/>
    <s v="ARM"/>
    <n v="1"/>
    <x v="38"/>
    <s v="Beam Laser Turret"/>
    <s v=""/>
    <s v="def_beamer"/>
    <n v="86"/>
    <n v="190"/>
    <n v="1500"/>
    <n v="5320"/>
    <n v="0"/>
    <n v="0"/>
    <n v="0"/>
    <n v="0"/>
    <n v="1430"/>
    <n v="7.5263157894736841"/>
    <m/>
    <m/>
    <m/>
    <m/>
    <m/>
    <m/>
    <m/>
    <n v="1"/>
    <n v="266"/>
    <n v="480"/>
    <m/>
    <m/>
    <m/>
    <n v="475"/>
    <n v="713"/>
    <s v=""/>
    <s v="BeamLaser"/>
    <s v=""/>
    <n v="1"/>
    <s v="ArmBuildings/LandDefenceOffence/armbeamer.lua"/>
    <s v=""/>
  </r>
  <r>
    <s v="corak"/>
    <s v="CORE"/>
    <n v="1"/>
    <x v="39"/>
    <s v="Fast Infantry Bot"/>
    <s v=""/>
    <s v="bot_t1_raid_0.7"/>
    <n v="26"/>
    <n v="36"/>
    <n v="880"/>
    <n v="1280"/>
    <n v="0"/>
    <n v="0"/>
    <n v="0"/>
    <n v="81"/>
    <n v="270"/>
    <n v="7.5"/>
    <m/>
    <m/>
    <m/>
    <m/>
    <m/>
    <m/>
    <m/>
    <m/>
    <n v="74"/>
    <n v="230"/>
    <m/>
    <m/>
    <m/>
    <n v="500"/>
    <n v="750"/>
    <s v=""/>
    <s v="BeamLaser"/>
    <s v=""/>
    <n v="1"/>
    <s v="CorBots/corak.lua"/>
    <s v=""/>
  </r>
  <r>
    <s v="armllt"/>
    <s v="ARM"/>
    <n v="1"/>
    <x v="40"/>
    <s v="Light Laser Tower"/>
    <s v=""/>
    <s v="defence_0_laser"/>
    <n v="78"/>
    <n v="85"/>
    <n v="680"/>
    <n v="2660"/>
    <n v="0"/>
    <n v="0"/>
    <n v="0"/>
    <n v="0"/>
    <n v="620"/>
    <n v="7.2941176470588234"/>
    <m/>
    <m/>
    <m/>
    <m/>
    <m/>
    <m/>
    <m/>
    <n v="1"/>
    <n v="161"/>
    <n v="430"/>
    <m/>
    <m/>
    <m/>
    <n v="494"/>
    <n v="741"/>
    <s v=""/>
    <s v="BeamLaser"/>
    <s v=""/>
    <n v="1"/>
    <s v="ArmBuildings/LandDefenceOffence/armllt.lua"/>
    <s v=""/>
  </r>
  <r>
    <s v="corllt"/>
    <s v="CORE"/>
    <n v="1"/>
    <x v="41"/>
    <s v="Light Laser Tower"/>
    <s v=""/>
    <s v="defence_0_laser"/>
    <n v="67"/>
    <n v="90"/>
    <n v="700"/>
    <n v="2720"/>
    <n v="0"/>
    <n v="0"/>
    <n v="0"/>
    <n v="0"/>
    <n v="650"/>
    <n v="7.2222222222222223"/>
    <m/>
    <m/>
    <m/>
    <m/>
    <m/>
    <m/>
    <m/>
    <n v="1"/>
    <n v="161"/>
    <n v="435"/>
    <m/>
    <m/>
    <m/>
    <n v="494"/>
    <n v="741"/>
    <s v=""/>
    <s v="BeamLaser"/>
    <s v=""/>
    <n v="1"/>
    <s v="CorBuildings/LandDefenceOffence/corllt.lua"/>
    <s v=""/>
  </r>
  <r>
    <s v="armch"/>
    <s v="ARM"/>
    <n v="1"/>
    <x v="33"/>
    <s v="Tech 1 Constructor"/>
    <s v=""/>
    <s v="hover_worker"/>
    <n v="12"/>
    <n v="200"/>
    <n v="2700"/>
    <n v="4470"/>
    <n v="0"/>
    <n v="11"/>
    <n v="110"/>
    <n v="67"/>
    <n v="1440"/>
    <n v="7.2"/>
    <m/>
    <m/>
    <m/>
    <n v="1"/>
    <m/>
    <m/>
    <m/>
    <m/>
    <n v="0"/>
    <n v="0"/>
    <m/>
    <m/>
    <n v="50"/>
    <n v="351"/>
    <n v="527"/>
    <s v=""/>
    <s v=""/>
    <s v="armsolar, armadvsol, armwin, armgeo, armmstor, armestor, armmex, armamex, armmakr, armlab, armvp, armap, armhp, armnanotc, armnanotcplat, armeyes, armrad, armdrag, armclaw, armllt, armbeamer, armhlt, armguard, armrl, armferret, armcir, armdl, armjamt, armjuno, armfhp, armsy, armamsub, armplat, armtide, armfmkr, armuwms, armuwes, armfdrag, armfrad, armfhlt, armfrt, armtl, armavp, armasy, armuwgeo"/>
    <n v="1"/>
    <s v="ArmHovercraft/armch.lua"/>
    <s v=""/>
  </r>
  <r>
    <s v="corsy"/>
    <s v="CORE"/>
    <n v="1"/>
    <x v="42"/>
    <s v="Produces Tech 1 Ships"/>
    <s v=""/>
    <s v="factory_ship"/>
    <n v="32"/>
    <n v="600"/>
    <n v="1200"/>
    <n v="6600"/>
    <n v="0"/>
    <n v="0"/>
    <n v="165"/>
    <n v="0"/>
    <n v="4300"/>
    <n v="7.166666666666667"/>
    <m/>
    <m/>
    <m/>
    <m/>
    <m/>
    <m/>
    <m/>
    <n v="1"/>
    <n v="0"/>
    <n v="0"/>
    <m/>
    <m/>
    <m/>
    <n v="340"/>
    <n v="510"/>
    <s v=""/>
    <s v=""/>
    <s v="corcs, correcl, coresupp, corpt, corpship, corroy, corsub"/>
    <n v="1"/>
    <s v="CorBuildings/SeaFactories/corsy.lua"/>
    <s v=""/>
  </r>
  <r>
    <s v="coramph"/>
    <s v="CORE"/>
    <n v="2"/>
    <x v="43"/>
    <s v="Amphibious Bot"/>
    <s v=""/>
    <s v="amph_torp"/>
    <n v="32"/>
    <n v="330"/>
    <n v="9500"/>
    <n v="9650"/>
    <n v="0"/>
    <n v="0"/>
    <n v="0"/>
    <n v="56"/>
    <n v="2350"/>
    <n v="7.1212121212121211"/>
    <n v="1"/>
    <m/>
    <m/>
    <m/>
    <m/>
    <m/>
    <m/>
    <m/>
    <n v="174"/>
    <n v="400"/>
    <m/>
    <n v="300"/>
    <n v="300"/>
    <n v="400"/>
    <n v="600"/>
    <s v=""/>
    <s v="TorpedoLauncher, BeamLaser"/>
    <s v=""/>
    <n v="1"/>
    <s v="CorBots/T2/coramph.lua"/>
    <s v=""/>
  </r>
  <r>
    <s v="corsumo"/>
    <s v="CORE"/>
    <n v="2"/>
    <x v="44"/>
    <s v="Heavily Armored Assault Bot"/>
    <s v=""/>
    <s v="corsumo"/>
    <n v="36"/>
    <n v="2200"/>
    <n v="35000"/>
    <n v="51000"/>
    <n v="0"/>
    <n v="0"/>
    <n v="0"/>
    <n v="23"/>
    <n v="15600"/>
    <n v="7.0909090909090908"/>
    <m/>
    <m/>
    <m/>
    <m/>
    <m/>
    <m/>
    <m/>
    <m/>
    <n v="503"/>
    <n v="650"/>
    <m/>
    <m/>
    <m/>
    <n v="510"/>
    <n v="765"/>
    <s v=""/>
    <s v="BeamLaser"/>
    <s v=""/>
    <n v="1"/>
    <s v="CorBots/T2/corsumo.lua"/>
    <s v=""/>
  </r>
  <r>
    <s v="armpw"/>
    <s v="ARM"/>
    <n v="1"/>
    <x v="45"/>
    <s v="Fast Infantry Bot"/>
    <s v=""/>
    <s v="bot_t1_raid_0.7"/>
    <n v="26"/>
    <n v="48"/>
    <n v="960"/>
    <n v="1420"/>
    <n v="0"/>
    <n v="0"/>
    <n v="0"/>
    <n v="87"/>
    <n v="335"/>
    <n v="6.979166666666667"/>
    <m/>
    <m/>
    <m/>
    <m/>
    <m/>
    <m/>
    <m/>
    <m/>
    <n v="90"/>
    <n v="180"/>
    <m/>
    <m/>
    <m/>
    <n v="429"/>
    <n v="644"/>
    <s v=""/>
    <s v="Cannon"/>
    <s v=""/>
    <n v="1"/>
    <s v="ArmBots/armpw.lua"/>
    <s v=""/>
  </r>
  <r>
    <s v="corgator"/>
    <s v="CORE"/>
    <n v="1"/>
    <x v="46"/>
    <s v="Light Tank"/>
    <s v=""/>
    <s v="vehicle_t1_raid"/>
    <n v="16"/>
    <n v="118"/>
    <n v="1042"/>
    <n v="1761"/>
    <n v="0"/>
    <n v="0"/>
    <n v="0"/>
    <n v="86"/>
    <n v="820"/>
    <n v="6.9491525423728815"/>
    <m/>
    <m/>
    <m/>
    <m/>
    <m/>
    <m/>
    <m/>
    <m/>
    <n v="98"/>
    <n v="230"/>
    <m/>
    <m/>
    <m/>
    <n v="273"/>
    <n v="410"/>
    <s v=""/>
    <s v="BeamLaser"/>
    <s v=""/>
    <n v="1"/>
    <s v="CorVehicles/corgator.lua"/>
    <s v=""/>
  </r>
  <r>
    <s v="cormlv"/>
    <s v="CORE"/>
    <n v="1"/>
    <x v="47"/>
    <s v="Stealthy Minelayer / Minesweeper"/>
    <s v=""/>
    <s v="cormlv_1.0"/>
    <n v="14"/>
    <n v="65"/>
    <n v="1300"/>
    <n v="3640"/>
    <n v="0"/>
    <n v="0"/>
    <n v="40"/>
    <n v="69"/>
    <n v="450"/>
    <n v="6.9230769230769234"/>
    <m/>
    <m/>
    <m/>
    <m/>
    <m/>
    <m/>
    <m/>
    <m/>
    <n v="0"/>
    <n v="0"/>
    <n v="64"/>
    <m/>
    <m/>
    <n v="450"/>
    <n v="675"/>
    <s v="stealth, jammer"/>
    <s v=""/>
    <s v="cormine1, cormine2, cormine3, cordrag, coreyes"/>
    <n v="1"/>
    <s v="CorVehicles/cormlv.lua"/>
    <s v=""/>
  </r>
  <r>
    <s v="armbeaver"/>
    <s v="ARM"/>
    <n v="1"/>
    <x v="48"/>
    <s v="Amphibious Construction Vehicle"/>
    <s v=""/>
    <s v="amphib_worker"/>
    <n v="22"/>
    <n v="150"/>
    <n v="3100"/>
    <n v="6700"/>
    <n v="0"/>
    <n v="8"/>
    <n v="80"/>
    <n v="42"/>
    <n v="1030"/>
    <n v="6.8666666666666663"/>
    <n v="1"/>
    <m/>
    <m/>
    <m/>
    <m/>
    <m/>
    <m/>
    <m/>
    <n v="0"/>
    <n v="0"/>
    <m/>
    <m/>
    <m/>
    <n v="266"/>
    <n v="399"/>
    <s v=""/>
    <s v=""/>
    <s v="armsolar, armadvsol, armwin, armgeo, armmstor, armestor, armmex, armamex, armmakr, armlab, armvp, armap, armhp, armavp, armnanotc, armnanotcplat, armeyes, armrad, armdrag, armclaw, armllt, armbeamer, armhlt, armguard, armrl, armferret, armcir, armjuno, armdl, armjamt, armfhp, armsy, armtide, armfmkr, armuwms, armuwes, armamsub, armplat, armfdrag, armfrad, armfhlt, armfrt, armtl, armuwgeo"/>
    <n v="1"/>
    <s v="ArmVehicles/armbeaver.lua"/>
    <s v=""/>
  </r>
  <r>
    <s v="armvader"/>
    <s v="ARM"/>
    <n v="2"/>
    <x v="49"/>
    <s v="Amphibious Rolling Bomb"/>
    <s v=""/>
    <s v="armvader_0.9"/>
    <n v="14"/>
    <n v="65"/>
    <n v="5800"/>
    <n v="7900"/>
    <n v="0"/>
    <n v="0"/>
    <n v="0"/>
    <n v="84"/>
    <n v="445"/>
    <n v="6.8461538461538458"/>
    <n v="1"/>
    <m/>
    <m/>
    <m/>
    <m/>
    <m/>
    <m/>
    <m/>
    <n v="2000"/>
    <n v="42"/>
    <m/>
    <m/>
    <m/>
    <n v="273"/>
    <n v="410"/>
    <s v=""/>
    <s v="Melee, Cannon"/>
    <s v=""/>
    <n v="1"/>
    <s v="ArmBots/T2/armvader.lua"/>
    <s v=""/>
  </r>
  <r>
    <s v="corshroud"/>
    <s v="CORE"/>
    <n v="2"/>
    <x v="50"/>
    <s v="Long-Range Jamming Tower"/>
    <s v=""/>
    <s v="jammer_t2"/>
    <n v="88"/>
    <n v="130"/>
    <n v="20000"/>
    <n v="9400"/>
    <n v="0"/>
    <n v="0"/>
    <n v="0"/>
    <n v="0"/>
    <n v="890"/>
    <n v="6.8461538461538458"/>
    <m/>
    <m/>
    <m/>
    <m/>
    <m/>
    <m/>
    <m/>
    <n v="1"/>
    <n v="0"/>
    <n v="0"/>
    <n v="700"/>
    <m/>
    <m/>
    <n v="155"/>
    <n v="233"/>
    <s v="jammer"/>
    <s v=""/>
    <s v=""/>
    <n v="1"/>
    <s v="CorBuildings/LandUtil/corshroud.lua"/>
    <s v=""/>
  </r>
  <r>
    <s v="armsy"/>
    <s v="ARM"/>
    <n v="1"/>
    <x v="42"/>
    <s v="Produces Tech 1 Ships"/>
    <s v=""/>
    <s v="factory_ship"/>
    <n v="52"/>
    <n v="600"/>
    <n v="1200"/>
    <n v="6660"/>
    <n v="0"/>
    <n v="0"/>
    <n v="165"/>
    <n v="0"/>
    <n v="4100"/>
    <n v="6.833333333333333"/>
    <m/>
    <m/>
    <m/>
    <m/>
    <m/>
    <m/>
    <m/>
    <n v="1"/>
    <n v="0"/>
    <n v="0"/>
    <m/>
    <m/>
    <m/>
    <n v="340"/>
    <n v="510"/>
    <s v=""/>
    <s v=""/>
    <s v="armcs, armrecl, armdecade, armpt, armpship, armroy, armsub"/>
    <n v="1"/>
    <s v="ArmBuildings/SeaFactories/armsy.lua"/>
    <s v=""/>
  </r>
  <r>
    <s v="corhal"/>
    <s v="CORE"/>
    <n v="1"/>
    <x v="51"/>
    <s v="Assault Hovertank"/>
    <s v=""/>
    <s v="corhal"/>
    <n v="23"/>
    <n v="640"/>
    <n v="13000"/>
    <n v="12900"/>
    <n v="0"/>
    <n v="0"/>
    <n v="0"/>
    <n v="45"/>
    <n v="4350"/>
    <n v="6.796875"/>
    <m/>
    <m/>
    <m/>
    <n v="1"/>
    <m/>
    <m/>
    <m/>
    <m/>
    <n v="344"/>
    <n v="300"/>
    <m/>
    <m/>
    <m/>
    <n v="450"/>
    <n v="675"/>
    <s v=""/>
    <s v="BeamLaser"/>
    <s v=""/>
    <n v="1"/>
    <s v="CorHovercraft/corhal.lua"/>
    <s v=""/>
  </r>
  <r>
    <s v="corlevlr"/>
    <s v="CORE"/>
    <n v="1"/>
    <x v="52"/>
    <s v="Anti-Swarm Tank"/>
    <s v=""/>
    <s v="vehicle_t1_impulse"/>
    <n v="23"/>
    <n v="220"/>
    <n v="2600"/>
    <n v="3000"/>
    <n v="0"/>
    <n v="0"/>
    <n v="0"/>
    <n v="41"/>
    <n v="1490"/>
    <n v="6.7727272727272725"/>
    <m/>
    <m/>
    <m/>
    <m/>
    <m/>
    <m/>
    <m/>
    <m/>
    <n v="106"/>
    <n v="315"/>
    <m/>
    <m/>
    <m/>
    <n v="286"/>
    <n v="429"/>
    <s v=""/>
    <s v="Cannon"/>
    <s v=""/>
    <n v="1"/>
    <s v="CorVehicles/corlevlr.lua"/>
    <s v=""/>
  </r>
  <r>
    <s v="corstorm"/>
    <s v="CORE"/>
    <n v="1"/>
    <x v="53"/>
    <s v="Rocket Bot - good vs. static defenses"/>
    <s v=""/>
    <s v="bot_rocket"/>
    <n v="29"/>
    <n v="110"/>
    <n v="1150"/>
    <n v="1950"/>
    <n v="0"/>
    <n v="0"/>
    <n v="0"/>
    <n v="48"/>
    <n v="740"/>
    <n v="6.7272727272727275"/>
    <m/>
    <m/>
    <m/>
    <m/>
    <m/>
    <m/>
    <m/>
    <m/>
    <n v="41"/>
    <n v="475"/>
    <m/>
    <m/>
    <m/>
    <n v="345"/>
    <n v="517"/>
    <s v=""/>
    <s v="MissileLauncher"/>
    <s v=""/>
    <n v="1"/>
    <s v="CorBots/corstorm.lua"/>
    <s v=""/>
  </r>
  <r>
    <s v="armpincer"/>
    <s v="ARM"/>
    <n v="1"/>
    <x v="54"/>
    <s v="Light Amphibious Tank"/>
    <s v=""/>
    <s v="amphib_tank"/>
    <n v="22"/>
    <n v="200"/>
    <n v="2000"/>
    <n v="2610"/>
    <n v="0"/>
    <n v="0"/>
    <n v="0"/>
    <n v="63"/>
    <n v="1340"/>
    <n v="6.7"/>
    <n v="1"/>
    <m/>
    <m/>
    <m/>
    <m/>
    <m/>
    <m/>
    <m/>
    <n v="77"/>
    <n v="305"/>
    <m/>
    <n v="180"/>
    <m/>
    <n v="305"/>
    <n v="458"/>
    <s v=""/>
    <s v="Cannon"/>
    <s v=""/>
    <n v="1"/>
    <s v="ArmVehicles/armpincer.lua"/>
    <s v=""/>
  </r>
  <r>
    <s v="armcroc"/>
    <s v="ARM"/>
    <n v="2"/>
    <x v="55"/>
    <s v="Heavy Amphibious Tank"/>
    <s v=""/>
    <s v="armcroc"/>
    <n v="25"/>
    <n v="750"/>
    <n v="15000"/>
    <n v="16000"/>
    <n v="0"/>
    <n v="0"/>
    <n v="0"/>
    <n v="54"/>
    <n v="5000"/>
    <n v="6.666666666666667"/>
    <n v="1"/>
    <m/>
    <m/>
    <m/>
    <m/>
    <m/>
    <m/>
    <m/>
    <n v="176"/>
    <n v="765"/>
    <m/>
    <n v="279"/>
    <m/>
    <n v="372"/>
    <n v="558"/>
    <s v=""/>
    <s v="Cannon, MissileLauncher"/>
    <s v=""/>
    <n v="1"/>
    <s v="ArmVehicles/T2/armcroc.lua"/>
    <s v=""/>
  </r>
  <r>
    <s v="armveil"/>
    <s v="ARM"/>
    <n v="2"/>
    <x v="56"/>
    <s v="Long-Range Jamming Tower"/>
    <s v=""/>
    <s v="jammer_t2"/>
    <n v="87"/>
    <n v="125"/>
    <n v="19000"/>
    <n v="9100"/>
    <n v="0"/>
    <n v="0"/>
    <n v="0"/>
    <n v="0"/>
    <n v="830"/>
    <n v="6.64"/>
    <m/>
    <m/>
    <m/>
    <m/>
    <m/>
    <m/>
    <m/>
    <n v="1"/>
    <n v="0"/>
    <n v="0"/>
    <n v="760"/>
    <m/>
    <m/>
    <n v="155"/>
    <n v="233"/>
    <s v="jammer"/>
    <s v=""/>
    <s v=""/>
    <n v="1"/>
    <s v="ArmBuildings/LandUtil/armveil.lua"/>
    <s v=""/>
  </r>
  <r>
    <s v="cormuskrat"/>
    <s v="CORE"/>
    <n v="1"/>
    <x v="57"/>
    <s v="Amphibious Construction Vehicle"/>
    <s v=""/>
    <s v="amphib_worker"/>
    <n v="21"/>
    <n v="170"/>
    <n v="3500"/>
    <n v="6860"/>
    <n v="0"/>
    <n v="8"/>
    <n v="80"/>
    <n v="41"/>
    <n v="1110"/>
    <n v="6.5294117647058822"/>
    <n v="1"/>
    <m/>
    <m/>
    <m/>
    <m/>
    <m/>
    <m/>
    <m/>
    <n v="0"/>
    <n v="0"/>
    <m/>
    <m/>
    <m/>
    <n v="260"/>
    <n v="390"/>
    <s v=""/>
    <s v=""/>
    <s v="corsolar, coradvsol, corwin, corgeo, cormstor, corestor, cormex, corexp, cormakr, corlab, corvp, corap, corhp, coravp, cornanotc, cornanotcplat, coreyes, corrad, cordrag, cormaw, corllt, corhllt, corhlt, corpun, corrl, cormadsam, corerad, corjuno, cordl, corjamt, corfhp, coramsub, corplat, corsy, cortide, corfmkr, coruwms, coruwes, corfdrag, corfrad, corfhlt, corfrt, cortl, coruwgeo"/>
    <n v="1"/>
    <s v="CorVehicles/cormuskrat.lua"/>
    <s v=""/>
  </r>
  <r>
    <s v="corgarp"/>
    <s v="CORE"/>
    <n v="1"/>
    <x v="58"/>
    <s v="Light Amphibious Tank"/>
    <s v=""/>
    <s v="amphib_tank"/>
    <n v="19"/>
    <n v="220"/>
    <n v="2600"/>
    <n v="3100"/>
    <n v="0"/>
    <n v="0"/>
    <n v="0"/>
    <n v="59"/>
    <n v="1420"/>
    <n v="6.4545454545454541"/>
    <n v="1"/>
    <m/>
    <m/>
    <m/>
    <m/>
    <m/>
    <m/>
    <m/>
    <n v="77"/>
    <n v="305"/>
    <m/>
    <n v="175"/>
    <m/>
    <n v="305"/>
    <n v="458"/>
    <s v=""/>
    <s v="Cannon"/>
    <s v=""/>
    <n v="1"/>
    <s v="CorVehicles/corgarp.lua"/>
    <s v=""/>
  </r>
  <r>
    <s v="armmstor"/>
    <s v="ARM"/>
    <n v="1"/>
    <x v="59"/>
    <s v="Increases Metal Storage (3000)"/>
    <s v=""/>
    <s v="metalstorage"/>
    <n v="49"/>
    <n v="330"/>
    <n v="570"/>
    <n v="2920"/>
    <n v="0"/>
    <n v="0"/>
    <n v="0"/>
    <n v="0"/>
    <n v="2100"/>
    <n v="6.3636363636363633"/>
    <m/>
    <m/>
    <m/>
    <m/>
    <m/>
    <m/>
    <m/>
    <n v="1"/>
    <n v="0"/>
    <n v="0"/>
    <m/>
    <m/>
    <m/>
    <n v="273"/>
    <n v="410"/>
    <s v=""/>
    <s v=""/>
    <s v=""/>
    <n v="1"/>
    <s v="ArmBuildings/LandEconomy/armmstor.lua"/>
    <s v=""/>
  </r>
  <r>
    <s v="armflash"/>
    <s v="ARM"/>
    <n v="1"/>
    <x v="60"/>
    <s v="Fast Assault Tank"/>
    <s v=""/>
    <s v="vehicle_t1_raid"/>
    <n v="16"/>
    <n v="109"/>
    <n v="911"/>
    <n v="1960"/>
    <n v="0"/>
    <n v="0"/>
    <n v="0"/>
    <n v="99"/>
    <n v="690"/>
    <n v="6.330275229357798"/>
    <m/>
    <m/>
    <m/>
    <m/>
    <m/>
    <m/>
    <m/>
    <m/>
    <n v="90"/>
    <n v="180"/>
    <m/>
    <m/>
    <m/>
    <n v="299"/>
    <n v="449"/>
    <s v=""/>
    <s v="Cannon"/>
    <s v=""/>
    <n v="1"/>
    <s v="ArmVehicles/armflash.lua"/>
    <s v=""/>
  </r>
  <r>
    <s v="armthor"/>
    <s v="ARM"/>
    <n v="3"/>
    <x v="61"/>
    <s v="Experimental Terminator Tank"/>
    <s v=""/>
    <s v="armthor"/>
    <n v="41"/>
    <n v="9000"/>
    <n v="240000"/>
    <n v="250000"/>
    <n v="0"/>
    <n v="0"/>
    <n v="0"/>
    <n v="54"/>
    <n v="56000"/>
    <n v="6.2222222222222223"/>
    <m/>
    <m/>
    <m/>
    <m/>
    <m/>
    <m/>
    <m/>
    <m/>
    <n v="968"/>
    <n v="1050"/>
    <m/>
    <m/>
    <m/>
    <n v="600"/>
    <n v="900"/>
    <s v=""/>
    <s v="LightningCannon, EMP-StarburstLauncher, 2x EMP-BeamLaser"/>
    <s v=""/>
    <n v="1"/>
    <s v="ArmGantry/armthor.lua"/>
    <s v=""/>
  </r>
  <r>
    <s v="corcrus"/>
    <s v="CORE"/>
    <n v="2"/>
    <x v="62"/>
    <s v="Cruiser"/>
    <s v=""/>
    <s v="ship_t2_cruiser"/>
    <n v="31"/>
    <n v="1000"/>
    <n v="12000"/>
    <n v="17000"/>
    <n v="0"/>
    <n v="0"/>
    <n v="0"/>
    <n v="54"/>
    <n v="6200"/>
    <n v="6.2"/>
    <m/>
    <m/>
    <m/>
    <m/>
    <n v="1"/>
    <m/>
    <m/>
    <m/>
    <n v="532"/>
    <n v="500"/>
    <m/>
    <n v="375"/>
    <m/>
    <n v="600"/>
    <n v="900"/>
    <s v=""/>
    <s v="2x BeamLaser, TorpedoLauncher"/>
    <s v=""/>
    <n v="1"/>
    <s v="CorShips/T2/corcrus.lua"/>
    <s v=""/>
  </r>
  <r>
    <s v="corvrad"/>
    <s v="CORE"/>
    <n v="2"/>
    <x v="63"/>
    <s v="Radar Vehicle"/>
    <s v=""/>
    <s v="vehicle_t2_radar"/>
    <n v="30"/>
    <n v="92"/>
    <n v="1300"/>
    <n v="4220"/>
    <n v="0"/>
    <n v="0"/>
    <n v="0"/>
    <n v="48"/>
    <n v="570"/>
    <n v="6.1956521739130439"/>
    <m/>
    <m/>
    <m/>
    <m/>
    <m/>
    <m/>
    <m/>
    <m/>
    <n v="0"/>
    <n v="0"/>
    <m/>
    <m/>
    <n v="2200"/>
    <n v="900"/>
    <n v="1350"/>
    <s v="radar"/>
    <s v=""/>
    <s v=""/>
    <n v="1"/>
    <s v="CorVehicles/T2/corvrad.lua"/>
    <s v=""/>
  </r>
  <r>
    <s v="cormstor"/>
    <s v="CORE"/>
    <n v="1"/>
    <x v="59"/>
    <s v="Increases Metal Storage (3000)"/>
    <s v=""/>
    <s v="metalstorage"/>
    <n v="56"/>
    <n v="340"/>
    <n v="590"/>
    <n v="2920"/>
    <n v="0"/>
    <n v="0"/>
    <n v="0"/>
    <n v="0"/>
    <n v="2100"/>
    <n v="6.1764705882352944"/>
    <m/>
    <m/>
    <m/>
    <m/>
    <m/>
    <m/>
    <m/>
    <n v="1"/>
    <n v="0"/>
    <n v="0"/>
    <m/>
    <m/>
    <m/>
    <n v="273"/>
    <n v="410"/>
    <s v=""/>
    <s v=""/>
    <s v=""/>
    <n v="1"/>
    <s v="CorBuildings/LandEconomy/cormstor.lua"/>
    <s v=""/>
  </r>
  <r>
    <s v="coruwms"/>
    <s v="CORE"/>
    <n v="1"/>
    <x v="13"/>
    <s v="Increases Metal Storage (3000)"/>
    <s v=""/>
    <s v="metalstorage"/>
    <n v="32"/>
    <n v="340"/>
    <n v="590"/>
    <n v="2920"/>
    <n v="0"/>
    <n v="0"/>
    <n v="0"/>
    <n v="0"/>
    <n v="2100"/>
    <n v="6.1764705882352944"/>
    <m/>
    <n v="1"/>
    <m/>
    <m/>
    <m/>
    <m/>
    <m/>
    <n v="1"/>
    <n v="0"/>
    <n v="0"/>
    <m/>
    <m/>
    <m/>
    <n v="169"/>
    <n v="254"/>
    <s v=""/>
    <s v=""/>
    <s v=""/>
    <n v="1"/>
    <s v="CorBuildings/SeaEconomy/coruwms.lua"/>
    <s v=""/>
  </r>
  <r>
    <s v="cormoho"/>
    <s v="CORE"/>
    <n v="2"/>
    <x v="64"/>
    <s v="Advanced Metal Extractor / Storage"/>
    <s v=""/>
    <s v="mex_t2"/>
    <n v="34"/>
    <n v="640"/>
    <n v="8100"/>
    <n v="14100"/>
    <n v="0"/>
    <n v="0"/>
    <n v="0"/>
    <n v="0"/>
    <n v="3900"/>
    <n v="6.09375"/>
    <m/>
    <m/>
    <m/>
    <m/>
    <m/>
    <m/>
    <m/>
    <n v="1"/>
    <n v="0"/>
    <n v="0"/>
    <m/>
    <m/>
    <m/>
    <n v="273"/>
    <n v="410"/>
    <s v=""/>
    <s v=""/>
    <s v=""/>
    <n v="1"/>
    <s v="CorBuildings/LandEconomy/cormoho.lua"/>
    <s v=""/>
  </r>
  <r>
    <s v="coruwmme"/>
    <s v="CORE"/>
    <n v="2"/>
    <x v="65"/>
    <s v="Advanced Metal Extractor / Storage"/>
    <s v=""/>
    <s v="mex_t2"/>
    <n v="28"/>
    <n v="640"/>
    <n v="8100"/>
    <n v="14100"/>
    <n v="0"/>
    <n v="0"/>
    <n v="0"/>
    <n v="0"/>
    <n v="3900"/>
    <n v="6.09375"/>
    <m/>
    <n v="1"/>
    <m/>
    <m/>
    <m/>
    <m/>
    <m/>
    <n v="1"/>
    <n v="0"/>
    <n v="0"/>
    <m/>
    <m/>
    <m/>
    <n v="169"/>
    <n v="254"/>
    <s v=""/>
    <s v=""/>
    <s v=""/>
    <n v="1"/>
    <s v="CorBuildings/SeaEconomy/coruwmme.lua"/>
    <s v=""/>
  </r>
  <r>
    <s v="corshiva"/>
    <s v="CORE"/>
    <n v="3"/>
    <x v="66"/>
    <s v="Amphibious Siege Mech"/>
    <s v=""/>
    <s v="corshiva_2.1"/>
    <n v="60"/>
    <n v="1550"/>
    <n v="23000"/>
    <n v="30600"/>
    <n v="0"/>
    <n v="0"/>
    <n v="0"/>
    <n v="48"/>
    <n v="9400"/>
    <n v="6.064516129032258"/>
    <n v="1"/>
    <m/>
    <m/>
    <m/>
    <m/>
    <m/>
    <m/>
    <m/>
    <n v="407"/>
    <n v="800"/>
    <m/>
    <m/>
    <m/>
    <n v="520"/>
    <n v="780"/>
    <s v=""/>
    <s v="Cannon, StarburstLauncher"/>
    <s v=""/>
    <n v="1"/>
    <s v="CorGantry/corshiva.lua"/>
    <s v=""/>
  </r>
  <r>
    <s v="armrock"/>
    <s v="ARM"/>
    <n v="1"/>
    <x v="67"/>
    <s v="Rocket Bot - good vs. static defenses"/>
    <s v=""/>
    <s v="bot_rocket"/>
    <n v="28"/>
    <n v="120"/>
    <n v="1000"/>
    <n v="2010"/>
    <n v="0"/>
    <n v="0"/>
    <n v="0"/>
    <n v="51"/>
    <n v="720"/>
    <n v="6"/>
    <m/>
    <m/>
    <m/>
    <m/>
    <m/>
    <m/>
    <m/>
    <m/>
    <n v="41"/>
    <n v="475"/>
    <m/>
    <m/>
    <m/>
    <n v="338"/>
    <n v="507"/>
    <s v=""/>
    <s v="MissileLauncher"/>
    <s v=""/>
    <n v="1"/>
    <s v="ArmBots/armrock.lua"/>
    <s v=""/>
  </r>
  <r>
    <s v="corexp"/>
    <s v="CORE"/>
    <n v="1"/>
    <x v="68"/>
    <s v="Armed Metal Extractor"/>
    <s v=""/>
    <s v="mex_t1_laser"/>
    <n v="46"/>
    <n v="240"/>
    <n v="1900"/>
    <n v="2720"/>
    <n v="0"/>
    <n v="0"/>
    <n v="0"/>
    <n v="0"/>
    <n v="1440"/>
    <n v="6"/>
    <m/>
    <m/>
    <m/>
    <m/>
    <m/>
    <m/>
    <m/>
    <n v="1"/>
    <n v="161"/>
    <n v="435"/>
    <m/>
    <m/>
    <m/>
    <n v="455"/>
    <n v="683"/>
    <s v=""/>
    <s v="BeamLaser"/>
    <s v=""/>
    <n v="1"/>
    <s v="CorBuildings/LandDefenceOffence/corexp.lua"/>
    <s v=""/>
  </r>
  <r>
    <s v="corparrow"/>
    <s v="CORE"/>
    <n v="2"/>
    <x v="69"/>
    <s v="Very Heavy Amphibious Tank"/>
    <s v=""/>
    <s v="corparrow"/>
    <n v="24"/>
    <n v="1050"/>
    <n v="29000"/>
    <n v="22200"/>
    <n v="0"/>
    <n v="0"/>
    <n v="0"/>
    <n v="51"/>
    <n v="6300"/>
    <n v="6"/>
    <n v="1"/>
    <m/>
    <m/>
    <m/>
    <m/>
    <m/>
    <m/>
    <m/>
    <n v="206"/>
    <n v="575"/>
    <m/>
    <n v="288"/>
    <m/>
    <n v="385"/>
    <n v="578"/>
    <s v=""/>
    <s v="Cannon"/>
    <s v=""/>
    <n v="1"/>
    <s v="CorVehicles/T2/corparrow.lua"/>
    <s v=""/>
  </r>
  <r>
    <s v="corsala"/>
    <s v="CORE"/>
    <n v="2"/>
    <x v="70"/>
    <s v="Medium Heat Ray Amphibious Tank"/>
    <s v=""/>
    <s v="corseal"/>
    <n v="19"/>
    <n v="350"/>
    <n v="7000"/>
    <n v="7900"/>
    <n v="0"/>
    <n v="0"/>
    <n v="0"/>
    <n v="72"/>
    <n v="2100"/>
    <n v="6"/>
    <n v="1"/>
    <m/>
    <m/>
    <m/>
    <m/>
    <m/>
    <m/>
    <m/>
    <n v="164"/>
    <n v="340"/>
    <m/>
    <n v="299"/>
    <m/>
    <n v="385"/>
    <n v="578"/>
    <s v=""/>
    <s v="BeamLaser"/>
    <s v=""/>
    <n v="1"/>
    <s v="CorVehicles/T2/corsala.lua"/>
    <s v=""/>
  </r>
  <r>
    <s v="corseah"/>
    <s v="CORE"/>
    <n v="2"/>
    <x v="71"/>
    <s v="Heavy Assault Transport"/>
    <s v=""/>
    <s v="air_trans"/>
    <n v="32"/>
    <n v="370"/>
    <n v="6400"/>
    <n v="10000"/>
    <n v="0"/>
    <n v="0"/>
    <n v="0"/>
    <n v="235"/>
    <n v="2200"/>
    <n v="5.9459459459459456"/>
    <m/>
    <m/>
    <n v="1"/>
    <m/>
    <m/>
    <m/>
    <m/>
    <m/>
    <n v="0"/>
    <n v="0"/>
    <m/>
    <m/>
    <m/>
    <n v="500"/>
    <n v="750"/>
    <s v="transport"/>
    <s v=""/>
    <s v=""/>
    <n v="1"/>
    <s v="CorAircraft/T2/corseah.lua"/>
    <s v=""/>
  </r>
  <r>
    <s v="armcir"/>
    <s v="ARM"/>
    <n v="1"/>
    <x v="72"/>
    <s v="Bomb-Resistant Medium-Range Anti-Air Missile Battery"/>
    <s v=""/>
    <s v="aa_t1_long"/>
    <n v="65"/>
    <n v="750"/>
    <n v="7300"/>
    <n v="12000"/>
    <n v="0"/>
    <n v="0"/>
    <n v="0"/>
    <n v="0"/>
    <n v="4450"/>
    <n v="5.9333333333333336"/>
    <m/>
    <m/>
    <m/>
    <m/>
    <m/>
    <m/>
    <m/>
    <n v="1"/>
    <n v="625"/>
    <n v="1125"/>
    <m/>
    <m/>
    <m/>
    <n v="380"/>
    <n v="1060"/>
    <s v=""/>
    <s v="MissileLauncher"/>
    <s v=""/>
    <n v="1"/>
    <s v="ArmBuildings/LandDefenceOffence/armcir.lua"/>
    <s v=""/>
  </r>
  <r>
    <s v="armhlt"/>
    <s v="ARM"/>
    <n v="1"/>
    <x v="73"/>
    <s v="Area Control Laser Tower"/>
    <s v=""/>
    <s v="defence_1.5_laser"/>
    <n v="96"/>
    <n v="440"/>
    <n v="4700"/>
    <n v="12500"/>
    <n v="0"/>
    <n v="0"/>
    <n v="0"/>
    <n v="0"/>
    <n v="2600"/>
    <n v="5.9090909090909092"/>
    <m/>
    <m/>
    <m/>
    <m/>
    <m/>
    <m/>
    <m/>
    <n v="1"/>
    <n v="215"/>
    <n v="620"/>
    <m/>
    <m/>
    <m/>
    <n v="494"/>
    <n v="741"/>
    <s v=""/>
    <s v="BeamLaser"/>
    <s v=""/>
    <n v="1"/>
    <s v="ArmBuildings/LandDefenceOffence/armhlt.lua"/>
    <s v=""/>
  </r>
  <r>
    <s v="armwar"/>
    <s v="ARM"/>
    <n v="1"/>
    <x v="74"/>
    <s v="Anti-Swarm Bot"/>
    <s v=""/>
    <s v="armwar_1.15"/>
    <n v="34"/>
    <n v="270"/>
    <n v="3100"/>
    <n v="4200"/>
    <n v="0"/>
    <n v="0"/>
    <n v="0"/>
    <n v="45"/>
    <n v="1590"/>
    <n v="5.8888888888888893"/>
    <m/>
    <m/>
    <m/>
    <m/>
    <m/>
    <m/>
    <m/>
    <m/>
    <n v="183"/>
    <n v="330"/>
    <m/>
    <m/>
    <m/>
    <n v="350"/>
    <n v="525"/>
    <s v=""/>
    <s v="BeamLaser"/>
    <s v=""/>
    <n v="1"/>
    <s v="ArmBots/armwar.lua"/>
    <s v=""/>
  </r>
  <r>
    <s v="armmlv"/>
    <s v="ARM"/>
    <n v="1"/>
    <x v="75"/>
    <s v="Stealthy Minelayer / Minesweeper"/>
    <s v=""/>
    <s v="armmlv_1.0"/>
    <n v="18"/>
    <n v="57"/>
    <n v="1100"/>
    <n v="3520"/>
    <n v="0"/>
    <n v="0"/>
    <n v="40"/>
    <n v="75"/>
    <n v="335"/>
    <n v="5.8771929824561404"/>
    <m/>
    <m/>
    <m/>
    <m/>
    <m/>
    <m/>
    <m/>
    <m/>
    <n v="0"/>
    <n v="0"/>
    <n v="64"/>
    <m/>
    <m/>
    <n v="450"/>
    <n v="675"/>
    <s v="stealth, jammer"/>
    <s v=""/>
    <s v="armmine1, armmine2, armmine3, armdrag, armeyes"/>
    <n v="1"/>
    <s v="ArmVehicles/armmlv.lua"/>
    <s v=""/>
  </r>
  <r>
    <s v="armyork"/>
    <s v="ARM"/>
    <n v="2"/>
    <x v="76"/>
    <s v="Anti-Air Flak Vehicle"/>
    <s v=""/>
    <s v="vehicle_t2_aa_flak"/>
    <n v="36"/>
    <n v="450"/>
    <n v="9100"/>
    <n v="9950"/>
    <n v="0"/>
    <n v="0"/>
    <n v="0"/>
    <n v="71"/>
    <n v="2600"/>
    <n v="5.7777777777777777"/>
    <m/>
    <m/>
    <m/>
    <m/>
    <m/>
    <m/>
    <m/>
    <m/>
    <n v="273"/>
    <n v="775"/>
    <m/>
    <m/>
    <m/>
    <n v="390"/>
    <n v="900"/>
    <s v=""/>
    <s v="Cannon"/>
    <s v=""/>
    <n v="1"/>
    <s v="ArmVehicles/T2/armyork.lua"/>
    <s v=""/>
  </r>
  <r>
    <s v="corsent"/>
    <s v="CORE"/>
    <n v="2"/>
    <x v="77"/>
    <s v="Anti-Air Flak Vehicle"/>
    <s v=""/>
    <s v="vehicle_t2_aa_flak"/>
    <n v="37"/>
    <n v="470"/>
    <n v="10500"/>
    <n v="12000"/>
    <n v="0"/>
    <n v="0"/>
    <n v="0"/>
    <n v="69"/>
    <n v="2700"/>
    <n v="5.7446808510638299"/>
    <m/>
    <m/>
    <m/>
    <m/>
    <m/>
    <m/>
    <m/>
    <m/>
    <n v="273"/>
    <n v="775"/>
    <m/>
    <m/>
    <m/>
    <n v="338"/>
    <n v="900"/>
    <s v=""/>
    <s v="Cannon"/>
    <s v=""/>
    <n v="1"/>
    <s v="CorVehicles/T2/corsent.lua"/>
    <s v=""/>
  </r>
  <r>
    <s v="armbrawl"/>
    <s v="ARM"/>
    <n v="2"/>
    <x v="78"/>
    <s v="Gunship"/>
    <s v=""/>
    <s v="air_t2_hover"/>
    <n v="13"/>
    <n v="310"/>
    <n v="6200"/>
    <n v="13500"/>
    <n v="0"/>
    <n v="0"/>
    <n v="0"/>
    <n v="161"/>
    <n v="1780"/>
    <n v="5.741935483870968"/>
    <m/>
    <m/>
    <n v="1"/>
    <m/>
    <m/>
    <m/>
    <m/>
    <m/>
    <n v="107"/>
    <n v="380"/>
    <m/>
    <m/>
    <m/>
    <n v="550"/>
    <n v="825"/>
    <s v=""/>
    <s v="Cannon"/>
    <s v=""/>
    <n v="1"/>
    <s v="ArmAircraft/T2/armbrawl.lua"/>
    <s v=""/>
  </r>
  <r>
    <s v="corsnap"/>
    <s v="CORE"/>
    <n v="1"/>
    <x v="79"/>
    <s v="Hovertank"/>
    <s v=""/>
    <s v="hover_gun"/>
    <n v="11"/>
    <n v="300"/>
    <n v="3100"/>
    <n v="3500"/>
    <n v="0"/>
    <n v="0"/>
    <n v="0"/>
    <n v="67"/>
    <n v="1720"/>
    <n v="5.7333333333333334"/>
    <m/>
    <m/>
    <m/>
    <n v="1"/>
    <m/>
    <m/>
    <m/>
    <m/>
    <n v="70"/>
    <n v="370"/>
    <m/>
    <m/>
    <m/>
    <n v="491"/>
    <n v="737"/>
    <s v=""/>
    <s v="Cannon"/>
    <s v=""/>
    <n v="1"/>
    <s v="CorHovercraft/corsnap.lua"/>
    <s v=""/>
  </r>
  <r>
    <s v="corhlt"/>
    <s v="CORE"/>
    <n v="1"/>
    <x v="80"/>
    <s v="Area Control Laser Tower"/>
    <s v=""/>
    <s v="defence_1.5_laser"/>
    <n v="93"/>
    <n v="480"/>
    <n v="4700"/>
    <n v="12650"/>
    <n v="0"/>
    <n v="0"/>
    <n v="0"/>
    <n v="0"/>
    <n v="2750"/>
    <n v="5.729166666666667"/>
    <m/>
    <m/>
    <m/>
    <m/>
    <m/>
    <m/>
    <m/>
    <n v="1"/>
    <n v="218"/>
    <n v="620"/>
    <m/>
    <m/>
    <m/>
    <n v="455"/>
    <n v="683"/>
    <s v=""/>
    <s v="BeamLaser"/>
    <s v=""/>
    <n v="1"/>
    <s v="CorBuildings/LandDefenceOffence/corhlt.lua"/>
    <s v=""/>
  </r>
  <r>
    <s v="armanac"/>
    <s v="ARM"/>
    <n v="1"/>
    <x v="81"/>
    <s v="Hovertank"/>
    <s v=""/>
    <s v="hover_gun"/>
    <n v="24"/>
    <n v="270"/>
    <n v="2400"/>
    <n v="3000"/>
    <n v="0"/>
    <n v="0"/>
    <n v="0"/>
    <n v="70"/>
    <n v="1530"/>
    <n v="5.666666666666667"/>
    <m/>
    <m/>
    <m/>
    <n v="1"/>
    <m/>
    <m/>
    <m/>
    <m/>
    <n v="70"/>
    <n v="370"/>
    <m/>
    <m/>
    <m/>
    <n v="509"/>
    <n v="764"/>
    <s v=""/>
    <s v="Cannon"/>
    <s v=""/>
    <n v="1"/>
    <s v="ArmHovercraft/armanac.lua"/>
    <s v=""/>
  </r>
  <r>
    <s v="armpship"/>
    <s v="ARM"/>
    <n v="1"/>
    <x v="82"/>
    <s v="Assault Frigate"/>
    <s v=""/>
    <s v="ship_pship"/>
    <n v="22"/>
    <n v="380"/>
    <n v="2550"/>
    <n v="4250"/>
    <n v="0"/>
    <n v="0"/>
    <n v="0"/>
    <n v="81"/>
    <n v="2150"/>
    <n v="5.6578947368421053"/>
    <m/>
    <m/>
    <m/>
    <m/>
    <n v="1"/>
    <m/>
    <m/>
    <m/>
    <n v="117"/>
    <n v="470"/>
    <m/>
    <m/>
    <m/>
    <n v="500"/>
    <n v="750"/>
    <s v=""/>
    <s v="2x Cannon"/>
    <s v=""/>
    <n v="1"/>
    <s v="ArmShips/armpship.lua"/>
    <s v=""/>
  </r>
  <r>
    <s v="corhunt"/>
    <s v="CORE"/>
    <n v="1"/>
    <x v="83"/>
    <s v="Advanced Radar / Sonar Plane"/>
    <s v=""/>
    <s v="air_los_sea"/>
    <n v="18"/>
    <n v="130"/>
    <n v="6900"/>
    <n v="9500"/>
    <n v="0"/>
    <n v="0"/>
    <n v="0"/>
    <n v="324"/>
    <n v="730"/>
    <n v="5.615384615384615"/>
    <n v="1"/>
    <m/>
    <n v="1"/>
    <m/>
    <m/>
    <m/>
    <m/>
    <m/>
    <n v="0"/>
    <n v="0"/>
    <m/>
    <n v="900"/>
    <n v="2200"/>
    <n v="1130"/>
    <n v="1695"/>
    <s v="radar"/>
    <s v=""/>
    <s v=""/>
    <n v="1"/>
    <s v="CorSeaplanes/corhunt.lua"/>
    <s v=""/>
  </r>
  <r>
    <s v="armcrus"/>
    <s v="ARM"/>
    <n v="2"/>
    <x v="84"/>
    <s v="Cruiser"/>
    <s v=""/>
    <s v="ship_t2_cruiser_plasma"/>
    <n v="35"/>
    <n v="1000"/>
    <n v="12000"/>
    <n v="17000"/>
    <n v="0"/>
    <n v="0"/>
    <n v="0"/>
    <n v="60"/>
    <n v="5600"/>
    <n v="5.6"/>
    <m/>
    <m/>
    <m/>
    <m/>
    <n v="1"/>
    <m/>
    <m/>
    <m/>
    <n v="482"/>
    <n v="500"/>
    <m/>
    <n v="375"/>
    <m/>
    <n v="600"/>
    <n v="900"/>
    <s v=""/>
    <s v="TorpedoLauncher, BeamLaser, Cannon"/>
    <s v=""/>
    <n v="1"/>
    <s v="ArmShips/T2/armcrus.lua"/>
    <s v=""/>
  </r>
  <r>
    <s v="corpship"/>
    <s v="CORE"/>
    <n v="1"/>
    <x v="85"/>
    <s v="Assault Frigate"/>
    <s v=""/>
    <s v="ship_pship"/>
    <n v="26"/>
    <n v="420"/>
    <n v="2800"/>
    <n v="4550"/>
    <n v="0"/>
    <n v="0"/>
    <n v="0"/>
    <n v="83"/>
    <n v="2350"/>
    <n v="5.5952380952380949"/>
    <m/>
    <m/>
    <m/>
    <m/>
    <n v="1"/>
    <m/>
    <m/>
    <m/>
    <n v="120"/>
    <n v="480"/>
    <m/>
    <m/>
    <m/>
    <n v="500"/>
    <n v="750"/>
    <s v=""/>
    <s v="Cannon"/>
    <s v=""/>
    <n v="1"/>
    <s v="CorShips/corpship.lua"/>
    <s v=""/>
  </r>
  <r>
    <s v="corfdoom"/>
    <s v="CORE"/>
    <n v="2"/>
    <x v="86"/>
    <s v="Floating Multi-Weapon Platform"/>
    <s v=""/>
    <s v="cordoom"/>
    <n v="80"/>
    <n v="1200"/>
    <n v="15000"/>
    <n v="24000"/>
    <n v="0"/>
    <n v="0"/>
    <n v="0"/>
    <n v="0"/>
    <n v="6700"/>
    <n v="5.583333333333333"/>
    <m/>
    <m/>
    <m/>
    <m/>
    <m/>
    <m/>
    <m/>
    <n v="1"/>
    <n v="731"/>
    <n v="900"/>
    <m/>
    <m/>
    <m/>
    <n v="780"/>
    <n v="1170"/>
    <s v=""/>
    <s v="Cannon, 2x BeamLaser"/>
    <s v=""/>
    <n v="1"/>
    <s v="CorBuildings/SeaDefence/corfdoom.lua"/>
    <s v=""/>
  </r>
  <r>
    <s v="armfboy"/>
    <s v="ARM"/>
    <n v="2"/>
    <x v="87"/>
    <s v="Heavy Plasma Bot"/>
    <s v=""/>
    <s v="bot_t2_plasma_aoe"/>
    <n v="47"/>
    <n v="1400"/>
    <n v="11000"/>
    <n v="21000"/>
    <n v="0"/>
    <n v="0"/>
    <n v="0"/>
    <n v="30"/>
    <n v="7800"/>
    <n v="5.5714285714285712"/>
    <m/>
    <m/>
    <m/>
    <m/>
    <m/>
    <m/>
    <m/>
    <m/>
    <n v="119"/>
    <n v="700"/>
    <m/>
    <m/>
    <m/>
    <n v="510"/>
    <n v="765"/>
    <s v=""/>
    <s v="Cannon"/>
    <s v=""/>
    <n v="1"/>
    <s v="ArmBots/T2/armfboy.lua"/>
    <s v=""/>
  </r>
  <r>
    <s v="corerad"/>
    <s v="CORE"/>
    <n v="1"/>
    <x v="88"/>
    <s v="Bomb-Resistant Medium-Range Anti-Air Missile Battery"/>
    <s v=""/>
    <s v="aa_t1_long"/>
    <n v="40"/>
    <n v="800"/>
    <n v="7900"/>
    <n v="12000"/>
    <n v="0"/>
    <n v="0"/>
    <n v="0"/>
    <n v="0"/>
    <n v="4450"/>
    <n v="5.5625"/>
    <m/>
    <m/>
    <m/>
    <m/>
    <m/>
    <m/>
    <m/>
    <n v="1"/>
    <n v="625"/>
    <n v="1125"/>
    <m/>
    <m/>
    <m/>
    <n v="380"/>
    <n v="1060"/>
    <s v=""/>
    <s v="MissileLauncher"/>
    <s v=""/>
    <n v="1"/>
    <s v="CorBuildings/LandDefenceOffence/corerad.lua"/>
    <s v=""/>
  </r>
  <r>
    <s v="cormaw"/>
    <s v="CORE"/>
    <n v="1"/>
    <x v="89"/>
    <s v="Pop-up Flamethrower Turret"/>
    <s v=""/>
    <s v="wall_0.4"/>
    <n v="10"/>
    <n v="290"/>
    <n v="1550"/>
    <n v="4420"/>
    <n v="0"/>
    <n v="0"/>
    <n v="0"/>
    <n v="0"/>
    <n v="1610"/>
    <n v="5.5517241379310347"/>
    <m/>
    <m/>
    <m/>
    <m/>
    <m/>
    <m/>
    <m/>
    <n v="1"/>
    <n v="320"/>
    <n v="410"/>
    <n v="8"/>
    <m/>
    <m/>
    <n v="422"/>
    <n v="633"/>
    <s v="stealth, jammer"/>
    <s v="Flame"/>
    <s v=""/>
    <n v="1"/>
    <s v="CorBuildings/LandDefenceOffence/cormaw.lua"/>
    <s v=""/>
  </r>
  <r>
    <s v="cormist"/>
    <s v="CORE"/>
    <n v="1"/>
    <x v="90"/>
    <s v="Missile Truck"/>
    <s v=""/>
    <s v="vehicle_t1_missile"/>
    <n v="25"/>
    <n v="155"/>
    <n v="2400"/>
    <n v="3440"/>
    <n v="0"/>
    <n v="0"/>
    <n v="0"/>
    <n v="52"/>
    <n v="860"/>
    <n v="5.5483870967741939"/>
    <m/>
    <m/>
    <m/>
    <m/>
    <m/>
    <m/>
    <m/>
    <m/>
    <n v="73"/>
    <n v="700"/>
    <m/>
    <m/>
    <m/>
    <n v="620"/>
    <n v="900"/>
    <s v=""/>
    <s v="2x MissileLauncher"/>
    <s v=""/>
    <n v="1"/>
    <s v="CorVehicles/cormist.lua"/>
    <s v=""/>
  </r>
  <r>
    <s v="armdecade"/>
    <s v="ARM"/>
    <n v="1"/>
    <x v="91"/>
    <s v="Fast Assault Corvette"/>
    <s v=""/>
    <s v="ship_raid"/>
    <n v="14"/>
    <n v="175"/>
    <n v="1500"/>
    <n v="2450"/>
    <n v="0"/>
    <n v="0"/>
    <n v="0"/>
    <n v="105"/>
    <n v="970"/>
    <n v="5.5428571428571427"/>
    <m/>
    <m/>
    <m/>
    <m/>
    <n v="1"/>
    <m/>
    <m/>
    <m/>
    <n v="135"/>
    <n v="280"/>
    <m/>
    <m/>
    <m/>
    <n v="375"/>
    <n v="563"/>
    <s v=""/>
    <s v="2x Cannon"/>
    <s v=""/>
    <n v="1"/>
    <s v="ArmShips/armdecade.lua"/>
    <s v=""/>
  </r>
  <r>
    <s v="coreter"/>
    <s v="CORE"/>
    <n v="2"/>
    <x v="92"/>
    <s v="Radar Jammer Vehicle"/>
    <s v=""/>
    <s v="vehicle_t2_jammer"/>
    <n v="47"/>
    <n v="105"/>
    <n v="1900"/>
    <n v="6400"/>
    <n v="0"/>
    <n v="0"/>
    <n v="0"/>
    <n v="41"/>
    <n v="580"/>
    <n v="5.5238095238095237"/>
    <m/>
    <m/>
    <m/>
    <m/>
    <m/>
    <m/>
    <m/>
    <m/>
    <n v="0"/>
    <n v="0"/>
    <n v="450"/>
    <m/>
    <m/>
    <n v="299"/>
    <n v="449"/>
    <s v="jammer"/>
    <s v=""/>
    <s v=""/>
    <n v="1"/>
    <s v="CorVehicles/T2/coreter.lua"/>
    <s v=""/>
  </r>
  <r>
    <s v="corawac"/>
    <s v="CORE"/>
    <n v="2"/>
    <x v="93"/>
    <s v="Radar / Sonar Plane"/>
    <s v=""/>
    <s v="air_t2_radar"/>
    <n v="9"/>
    <n v="180"/>
    <n v="8300"/>
    <n v="13300"/>
    <n v="0"/>
    <n v="0"/>
    <n v="0"/>
    <n v="321"/>
    <n v="990"/>
    <n v="5.5"/>
    <m/>
    <m/>
    <n v="1"/>
    <m/>
    <m/>
    <m/>
    <m/>
    <m/>
    <n v="0"/>
    <n v="0"/>
    <m/>
    <n v="1200"/>
    <n v="2400"/>
    <n v="1250"/>
    <n v="1875"/>
    <s v="radar"/>
    <s v=""/>
    <s v=""/>
    <n v="1"/>
    <s v="CorAircraft/T2/corawac.lua"/>
    <s v=""/>
  </r>
  <r>
    <s v="corck"/>
    <s v="CORE"/>
    <n v="1"/>
    <x v="94"/>
    <s v="Tech 1 Constructor"/>
    <s v=""/>
    <s v="bot_worker"/>
    <n v="31"/>
    <n v="120"/>
    <n v="1750"/>
    <n v="3550"/>
    <n v="0"/>
    <n v="7"/>
    <n v="80"/>
    <n v="35"/>
    <n v="660"/>
    <n v="5.5"/>
    <m/>
    <m/>
    <m/>
    <m/>
    <m/>
    <m/>
    <m/>
    <m/>
    <n v="0"/>
    <n v="0"/>
    <m/>
    <m/>
    <m/>
    <n v="299"/>
    <n v="449"/>
    <s v=""/>
    <s v=""/>
    <s v="corsolar, coradvsol, corwin, corgeo, cormstor, corestor, cormex, corexp, cormakr, coralab, corlab, corvp, corap, corhp, cornanotc, coreyes, corrad, cordrag, cormaw, corllt, corhllt, corhlt, corpun, corrl, cormadsam, corerad, cordl, corjamt, corjuno, corsy"/>
    <n v="1"/>
    <s v="CorBots/corck.lua"/>
    <s v=""/>
  </r>
  <r>
    <s v="armsam"/>
    <s v="ARM"/>
    <n v="1"/>
    <x v="95"/>
    <s v="Missile Truck"/>
    <s v=""/>
    <s v="vehicle_t1_missile"/>
    <n v="18"/>
    <n v="150"/>
    <n v="2100"/>
    <n v="3420"/>
    <n v="0"/>
    <n v="0"/>
    <n v="0"/>
    <n v="55"/>
    <n v="820"/>
    <n v="5.4666666666666668"/>
    <m/>
    <m/>
    <m/>
    <m/>
    <m/>
    <m/>
    <m/>
    <m/>
    <n v="74"/>
    <n v="700"/>
    <m/>
    <m/>
    <m/>
    <n v="620"/>
    <n v="900"/>
    <s v=""/>
    <s v="2x MissileLauncher"/>
    <s v=""/>
    <n v="1"/>
    <s v="ArmVehicles/armsam.lua"/>
    <s v=""/>
  </r>
  <r>
    <s v="armck"/>
    <s v="ARM"/>
    <n v="1"/>
    <x v="94"/>
    <s v="Tech 1 Constructor"/>
    <s v=""/>
    <s v="bot_worker"/>
    <n v="26"/>
    <n v="110"/>
    <n v="1600"/>
    <n v="3450"/>
    <n v="0"/>
    <n v="7"/>
    <n v="80"/>
    <n v="36"/>
    <n v="600"/>
    <n v="5.4545454545454541"/>
    <m/>
    <m/>
    <m/>
    <m/>
    <m/>
    <m/>
    <m/>
    <m/>
    <n v="0"/>
    <n v="0"/>
    <m/>
    <m/>
    <m/>
    <n v="305"/>
    <n v="458"/>
    <s v=""/>
    <s v=""/>
    <s v="armsolar, armadvsol, armwin, armgeo, armmstor, armestor, armmex, armamex, armmakr, armalab, armlab, armvp, armap, armhp, armnanotc, armeyes, armrad, armdrag, armclaw, armllt, armbeamer, armhlt, armguard, armrl, armferret, armcir, armdl, armjamt, armjuno, armsy"/>
    <n v="1"/>
    <s v="ArmBots/armck.lua"/>
    <s v=""/>
  </r>
  <r>
    <s v="corcs"/>
    <s v="CORE"/>
    <n v="1"/>
    <x v="96"/>
    <s v="Tech 1 Constructor"/>
    <s v=""/>
    <s v="ship_worker"/>
    <n v="14"/>
    <n v="200"/>
    <n v="2000"/>
    <n v="3700"/>
    <n v="0"/>
    <n v="7"/>
    <n v="125"/>
    <n v="60"/>
    <n v="1080"/>
    <n v="5.4"/>
    <m/>
    <m/>
    <m/>
    <m/>
    <n v="1"/>
    <m/>
    <m/>
    <m/>
    <n v="0"/>
    <n v="0"/>
    <m/>
    <m/>
    <m/>
    <n v="400"/>
    <n v="600"/>
    <s v=""/>
    <s v=""/>
    <s v="cormex, corvp, corap, corlab, coreyes, cordl, cordrag, cormaw, corpun, cortide, corgeo, coruwgeo, corfmkr, coruwms, coruwes, corsy, corasy, cornanotcplat, corfhp, coramsub, corplat, corfrad, corfdrag, cortl, corfrt, corfhlt"/>
    <n v="1"/>
    <s v="CorShips/corcs.lua"/>
    <s v=""/>
  </r>
  <r>
    <s v="corpyro"/>
    <s v="CORE"/>
    <n v="2"/>
    <x v="97"/>
    <s v="Fast Assault Bot"/>
    <s v=""/>
    <s v="corpyro_1.15"/>
    <n v="31"/>
    <n v="200"/>
    <n v="3000"/>
    <n v="5030"/>
    <n v="0"/>
    <n v="0"/>
    <n v="0"/>
    <n v="83"/>
    <n v="1060"/>
    <n v="5.3"/>
    <m/>
    <m/>
    <m/>
    <m/>
    <m/>
    <m/>
    <m/>
    <m/>
    <n v="240"/>
    <n v="230"/>
    <m/>
    <m/>
    <m/>
    <n v="318"/>
    <n v="477"/>
    <s v=""/>
    <s v="Flame"/>
    <s v=""/>
    <n v="1"/>
    <s v="CorBots/T2/corpyro.lua"/>
    <s v=""/>
  </r>
  <r>
    <s v="armwin"/>
    <s v="ARM"/>
    <n v="1"/>
    <x v="98"/>
    <s v="Produces Energy. Depends on wind strength."/>
    <s v=""/>
    <s v="wind"/>
    <n v="84"/>
    <n v="37"/>
    <n v="175"/>
    <n v="1600"/>
    <n v="0"/>
    <n v="0"/>
    <n v="0"/>
    <n v="0"/>
    <n v="196"/>
    <n v="5.2972972972972974"/>
    <m/>
    <m/>
    <m/>
    <m/>
    <m/>
    <m/>
    <m/>
    <n v="1"/>
    <n v="0"/>
    <n v="0"/>
    <m/>
    <m/>
    <m/>
    <n v="273"/>
    <n v="410"/>
    <s v=""/>
    <s v=""/>
    <s v=""/>
    <n v="1"/>
    <s v="ArmBuildings/LandEconomy/armwin.lua"/>
    <s v=""/>
  </r>
  <r>
    <s v="corsjam"/>
    <s v="CORE"/>
    <n v="2"/>
    <x v="99"/>
    <s v="Radar Jammer Ship"/>
    <s v=""/>
    <s v="ship_t2_jammer"/>
    <n v="22"/>
    <n v="120"/>
    <n v="1800"/>
    <n v="6320"/>
    <n v="0"/>
    <n v="0"/>
    <n v="0"/>
    <n v="61"/>
    <n v="630"/>
    <n v="5.25"/>
    <m/>
    <m/>
    <m/>
    <m/>
    <n v="1"/>
    <m/>
    <m/>
    <m/>
    <n v="0"/>
    <n v="0"/>
    <n v="900"/>
    <m/>
    <m/>
    <n v="403"/>
    <n v="605"/>
    <s v="jammer"/>
    <s v=""/>
    <s v=""/>
    <n v="1"/>
    <s v="CorShips/T2/corsjam.lua"/>
    <s v=""/>
  </r>
  <r>
    <s v="armcs"/>
    <s v="ARM"/>
    <n v="1"/>
    <x v="96"/>
    <s v="Tech 1 Constructor"/>
    <s v=""/>
    <s v="ship_worker"/>
    <n v="33"/>
    <n v="200"/>
    <n v="2000"/>
    <n v="3460"/>
    <n v="0"/>
    <n v="7"/>
    <n v="125"/>
    <n v="65"/>
    <n v="1040"/>
    <n v="5.2"/>
    <m/>
    <m/>
    <m/>
    <m/>
    <n v="1"/>
    <m/>
    <m/>
    <m/>
    <n v="0"/>
    <n v="0"/>
    <m/>
    <m/>
    <m/>
    <n v="400"/>
    <n v="600"/>
    <s v=""/>
    <s v=""/>
    <s v="armmex, armvp, armap, armlab, armeyes, armdl, armdrag, armclaw, armguard, armtide, armgeo, armuwgeo, armfmkr, armuwms, armuwes, armsy, armasy, armnanotcplat, armfhp, armamsub, armplat, armfrad, armfdrag, armtl, armfrt, armfhlt"/>
    <n v="1"/>
    <s v="ArmShips/armcs.lua"/>
    <s v=""/>
  </r>
  <r>
    <s v="armpt"/>
    <s v="ARM"/>
    <n v="1"/>
    <x v="100"/>
    <s v="Stealthy Patrol Boat / Light Anti Air / Sonar"/>
    <s v=""/>
    <s v="ship"/>
    <n v="10"/>
    <n v="150"/>
    <n v="1000"/>
    <n v="2700"/>
    <n v="0"/>
    <n v="0"/>
    <n v="0"/>
    <n v="93"/>
    <n v="780"/>
    <n v="5.2"/>
    <m/>
    <m/>
    <m/>
    <m/>
    <n v="1"/>
    <m/>
    <m/>
    <m/>
    <n v="123"/>
    <n v="760"/>
    <m/>
    <n v="400"/>
    <n v="1000"/>
    <n v="750"/>
    <n v="800"/>
    <s v="stealth, radar"/>
    <s v="BeamLaser, MissileLauncher"/>
    <s v=""/>
    <n v="1"/>
    <s v="ArmShips/armpt.lua"/>
    <s v=""/>
  </r>
  <r>
    <s v="armsjam"/>
    <s v="ARM"/>
    <n v="2"/>
    <x v="101"/>
    <s v="Radar Jammer Ship"/>
    <s v=""/>
    <s v="ship_t2_jammer"/>
    <n v="27"/>
    <n v="110"/>
    <n v="1600"/>
    <n v="6040"/>
    <n v="0"/>
    <n v="0"/>
    <n v="0"/>
    <n v="66"/>
    <n v="570"/>
    <n v="5.1818181818181817"/>
    <m/>
    <m/>
    <m/>
    <m/>
    <n v="1"/>
    <m/>
    <m/>
    <m/>
    <n v="0"/>
    <n v="0"/>
    <n v="980"/>
    <m/>
    <m/>
    <n v="390"/>
    <n v="585"/>
    <s v="jammer"/>
    <s v=""/>
    <s v=""/>
    <n v="1"/>
    <s v="ArmShips/T2/armsjam.lua"/>
    <s v=""/>
  </r>
  <r>
    <s v="cortermite"/>
    <s v="CORE"/>
    <n v="2"/>
    <x v="102"/>
    <s v="Heavy All-terrain Assault Spider"/>
    <s v=""/>
    <s v="cortermite_1.5"/>
    <n v="7"/>
    <n v="600"/>
    <n v="9000"/>
    <n v="15000"/>
    <n v="0"/>
    <n v="0"/>
    <n v="0"/>
    <n v="48"/>
    <n v="3100"/>
    <n v="5.166666666666667"/>
    <m/>
    <m/>
    <m/>
    <m/>
    <m/>
    <m/>
    <m/>
    <m/>
    <n v="331"/>
    <n v="340"/>
    <m/>
    <m/>
    <m/>
    <n v="380"/>
    <n v="570"/>
    <s v=""/>
    <s v="BeamLaser"/>
    <s v=""/>
    <n v="1"/>
    <s v="CorBots/T2/cortermite.lua"/>
    <s v=""/>
  </r>
  <r>
    <s v="corkorg"/>
    <s v="CORE"/>
    <n v="3"/>
    <x v="103"/>
    <s v="Experimental Assault Bot"/>
    <s v=""/>
    <s v="mech"/>
    <n v="145"/>
    <n v="29000"/>
    <n v="615000"/>
    <n v="555000"/>
    <n v="0"/>
    <n v="300"/>
    <n v="0"/>
    <n v="34"/>
    <n v="149000"/>
    <n v="5.1379310344827589"/>
    <n v="1"/>
    <m/>
    <m/>
    <m/>
    <m/>
    <m/>
    <m/>
    <m/>
    <n v="4187"/>
    <n v="950"/>
    <m/>
    <m/>
    <m/>
    <n v="845"/>
    <n v="1268"/>
    <s v=""/>
    <s v="StarburstLauncher, BeamLaser, 6x Cannon"/>
    <s v=""/>
    <n v="1"/>
    <s v="CorGantry/corkorg.lua"/>
    <s v=""/>
  </r>
  <r>
    <s v="corcrash"/>
    <s v="CORE"/>
    <n v="1"/>
    <x v="104"/>
    <s v="Amphibious Anti-air Bot"/>
    <s v=""/>
    <s v="bot_amph_aa"/>
    <n v="28"/>
    <n v="125"/>
    <n v="1100"/>
    <n v="1900"/>
    <n v="0"/>
    <n v="0"/>
    <n v="0"/>
    <n v="53"/>
    <n v="640"/>
    <n v="5.12"/>
    <n v="1"/>
    <m/>
    <m/>
    <m/>
    <m/>
    <m/>
    <m/>
    <m/>
    <n v="55"/>
    <n v="760"/>
    <m/>
    <m/>
    <m/>
    <n v="380"/>
    <n v="800"/>
    <s v=""/>
    <s v="MissileLauncher"/>
    <s v=""/>
    <n v="1"/>
    <s v="CorBots/corcrash.lua"/>
    <s v=""/>
  </r>
  <r>
    <s v="armbanth"/>
    <s v="ARM"/>
    <n v="3"/>
    <x v="105"/>
    <s v="Assault Mech"/>
    <s v=""/>
    <s v="bantha"/>
    <n v="100"/>
    <n v="13500"/>
    <n v="286000"/>
    <n v="276000"/>
    <n v="0"/>
    <n v="150"/>
    <n v="0"/>
    <n v="46"/>
    <n v="69000"/>
    <n v="5.1111111111111107"/>
    <n v="1"/>
    <m/>
    <m/>
    <m/>
    <m/>
    <m/>
    <m/>
    <m/>
    <n v="1452"/>
    <n v="860"/>
    <m/>
    <m/>
    <m/>
    <n v="617"/>
    <n v="1100"/>
    <s v=""/>
    <s v="StarburstLauncher, LaserCannon, BeamLaser, Cannon"/>
    <s v=""/>
    <n v="1"/>
    <s v="ArmGantry/armbanth.lua"/>
    <s v=""/>
  </r>
  <r>
    <s v="armawac"/>
    <s v="ARM"/>
    <n v="2"/>
    <x v="106"/>
    <s v="Radar / Sonar Plane"/>
    <s v=""/>
    <s v="air_t2_radar"/>
    <n v="10"/>
    <n v="175"/>
    <n v="8600"/>
    <n v="12800"/>
    <n v="0"/>
    <n v="0"/>
    <n v="0"/>
    <n v="317"/>
    <n v="890"/>
    <n v="5.0857142857142854"/>
    <m/>
    <m/>
    <n v="1"/>
    <m/>
    <m/>
    <m/>
    <m/>
    <m/>
    <n v="0"/>
    <n v="0"/>
    <m/>
    <n v="1200"/>
    <n v="2500"/>
    <n v="1275"/>
    <n v="1913"/>
    <s v="radar"/>
    <s v=""/>
    <s v=""/>
    <n v="1"/>
    <s v="ArmAircraft/T2/armawac.lua"/>
    <s v=""/>
  </r>
  <r>
    <s v="armmar"/>
    <s v="ARM"/>
    <n v="3"/>
    <x v="107"/>
    <s v="Amphibious Assault Mech"/>
    <s v=""/>
    <s v="armmar_t3"/>
    <n v="56"/>
    <n v="970"/>
    <n v="21000"/>
    <n v="26100"/>
    <n v="0"/>
    <n v="0"/>
    <n v="0"/>
    <n v="95"/>
    <n v="4900"/>
    <n v="5.0515463917525771"/>
    <n v="1"/>
    <m/>
    <m/>
    <m/>
    <m/>
    <m/>
    <m/>
    <m/>
    <n v="379"/>
    <n v="600"/>
    <m/>
    <m/>
    <m/>
    <n v="455"/>
    <n v="683"/>
    <s v=""/>
    <s v="Cannon, MissileLauncher"/>
    <s v=""/>
    <n v="1"/>
    <s v="ArmGantry/armmar.lua"/>
    <s v=""/>
  </r>
  <r>
    <s v="armjeth"/>
    <s v="ARM"/>
    <n v="1"/>
    <x v="108"/>
    <s v="Amphibious Anti-air Bot"/>
    <s v=""/>
    <s v="bot_amph_aa"/>
    <n v="28"/>
    <n v="125"/>
    <n v="1100"/>
    <n v="1830"/>
    <n v="0"/>
    <n v="0"/>
    <n v="0"/>
    <n v="56"/>
    <n v="630"/>
    <n v="5.04"/>
    <n v="1"/>
    <m/>
    <m/>
    <m/>
    <m/>
    <m/>
    <m/>
    <m/>
    <n v="55"/>
    <n v="760"/>
    <m/>
    <m/>
    <m/>
    <n v="377"/>
    <n v="800"/>
    <s v=""/>
    <s v="MissileLauncher"/>
    <s v=""/>
    <n v="1"/>
    <s v="ArmBots/armjeth.lua"/>
    <s v=""/>
  </r>
  <r>
    <s v="corkarg"/>
    <s v="CORE"/>
    <n v="3"/>
    <x v="109"/>
    <s v="All-Terrain Assault Mech"/>
    <s v=""/>
    <s v="corkarg_2.05"/>
    <n v="39"/>
    <n v="2500"/>
    <n v="57000"/>
    <n v="76000"/>
    <n v="0"/>
    <n v="0"/>
    <n v="0"/>
    <n v="45"/>
    <n v="12500"/>
    <n v="5"/>
    <m/>
    <m/>
    <m/>
    <m/>
    <m/>
    <m/>
    <m/>
    <m/>
    <n v="850"/>
    <n v="700"/>
    <m/>
    <m/>
    <m/>
    <n v="455"/>
    <n v="683"/>
    <s v=""/>
    <s v="2x MissileLauncher"/>
    <s v=""/>
    <n v="1"/>
    <s v="CorGantry/corkarg.lua"/>
    <s v=""/>
  </r>
  <r>
    <s v="cordecom"/>
    <s v="CORE"/>
    <n v="2"/>
    <x v="110"/>
    <s v="Decoy Commander"/>
    <s v=""/>
    <s v="corcom"/>
    <n v="64"/>
    <n v="750"/>
    <n v="13000"/>
    <n v="27000"/>
    <n v="0"/>
    <n v="15"/>
    <n v="300"/>
    <n v="38"/>
    <n v="3700"/>
    <n v="4.9333333333333336"/>
    <n v="1"/>
    <m/>
    <m/>
    <m/>
    <m/>
    <m/>
    <m/>
    <m/>
    <n v="294"/>
    <n v="300"/>
    <m/>
    <n v="450"/>
    <n v="700"/>
    <n v="450"/>
    <n v="675"/>
    <s v="cloak, capturer"/>
    <s v="2x BeamLaser, DGun"/>
    <s v="cormine1, cormine2, cormine3, corsolar, corwin, cormstor, corestor, cormex, cormakr, corrad, corllt, corrl, cortide, coruwms, coruwes, corfmkr"/>
    <n v="1"/>
    <s v="CorBots/T2/cordecom.lua"/>
    <s v=""/>
  </r>
  <r>
    <s v="armpnix"/>
    <s v="ARM"/>
    <n v="2"/>
    <x v="111"/>
    <s v="Strategic Bomber"/>
    <s v=""/>
    <s v="air_t2_bomber"/>
    <n v="13"/>
    <n v="230"/>
    <n v="12500"/>
    <n v="21000"/>
    <n v="0"/>
    <n v="0"/>
    <n v="0"/>
    <n v="258"/>
    <n v="1130"/>
    <n v="4.9130434782608692"/>
    <m/>
    <m/>
    <n v="1"/>
    <m/>
    <m/>
    <m/>
    <m/>
    <m/>
    <n v="190"/>
    <n v="1280"/>
    <m/>
    <m/>
    <m/>
    <n v="260"/>
    <n v="390"/>
    <s v=""/>
    <s v="AircraftBomb"/>
    <s v=""/>
    <n v="1"/>
    <s v="ArmAircraft/T2/armpnix.lua"/>
    <s v=""/>
  </r>
  <r>
    <s v="corhurc"/>
    <s v="CORE"/>
    <n v="2"/>
    <x v="112"/>
    <s v="Heavy Strategic Bomber"/>
    <s v=""/>
    <s v="air_t2_bomber"/>
    <n v="17"/>
    <n v="310"/>
    <n v="18500"/>
    <n v="31000"/>
    <n v="0"/>
    <n v="0"/>
    <n v="0"/>
    <n v="248"/>
    <n v="1520"/>
    <n v="4.903225806451613"/>
    <m/>
    <m/>
    <n v="1"/>
    <m/>
    <m/>
    <m/>
    <m/>
    <m/>
    <n v="238"/>
    <n v="1280"/>
    <m/>
    <m/>
    <m/>
    <n v="221"/>
    <n v="332"/>
    <s v=""/>
    <s v="AircraftBomb"/>
    <s v=""/>
    <n v="1"/>
    <s v="CorAircraft/T2/corhurc.lua"/>
    <s v=""/>
  </r>
  <r>
    <s v="armbull"/>
    <s v="ARM"/>
    <n v="2"/>
    <x v="113"/>
    <s v="Heavy Assault Tank"/>
    <s v=""/>
    <s v="vehicle_t2_tank"/>
    <n v="28"/>
    <n v="950"/>
    <n v="13000"/>
    <n v="17200"/>
    <n v="0"/>
    <n v="0"/>
    <n v="0"/>
    <n v="65"/>
    <n v="4650"/>
    <n v="4.8947368421052628"/>
    <m/>
    <m/>
    <m/>
    <m/>
    <m/>
    <m/>
    <m/>
    <m/>
    <n v="245"/>
    <n v="460"/>
    <m/>
    <m/>
    <m/>
    <n v="494"/>
    <n v="741"/>
    <s v=""/>
    <s v="Cannon"/>
    <s v=""/>
    <n v="1"/>
    <s v="ArmVehicles/T2/armbull.lua"/>
    <s v=""/>
  </r>
  <r>
    <s v="armsb"/>
    <s v="ARM"/>
    <n v="1"/>
    <x v="114"/>
    <s v="Seaplane Bomber"/>
    <s v=""/>
    <s v="air_bomber_sea"/>
    <n v="20"/>
    <n v="240"/>
    <n v="7500"/>
    <n v="8000"/>
    <n v="0"/>
    <n v="0"/>
    <n v="0"/>
    <n v="267"/>
    <n v="1170"/>
    <n v="4.875"/>
    <n v="1"/>
    <m/>
    <n v="1"/>
    <m/>
    <m/>
    <m/>
    <m/>
    <m/>
    <n v="143"/>
    <n v="1280"/>
    <m/>
    <m/>
    <m/>
    <n v="455"/>
    <n v="683"/>
    <s v=""/>
    <s v="AircraftBomb"/>
    <s v=""/>
    <n v="1"/>
    <s v="ArmSeaplanes/armsb.lua"/>
    <s v=""/>
  </r>
  <r>
    <s v="armjam"/>
    <s v="ARM"/>
    <n v="2"/>
    <x v="115"/>
    <s v="Radar Jammer Vehicle"/>
    <s v=""/>
    <s v="vehicle_t2_jammer"/>
    <n v="17"/>
    <n v="105"/>
    <n v="1700"/>
    <n v="5930"/>
    <n v="0"/>
    <n v="0"/>
    <n v="0"/>
    <n v="33"/>
    <n v="510"/>
    <n v="4.8571428571428568"/>
    <m/>
    <m/>
    <m/>
    <m/>
    <m/>
    <m/>
    <m/>
    <m/>
    <n v="0"/>
    <n v="0"/>
    <n v="450"/>
    <m/>
    <m/>
    <n v="300"/>
    <n v="450"/>
    <s v="jammer"/>
    <s v=""/>
    <s v=""/>
    <n v="1"/>
    <s v="ArmVehicles/T2/armjam.lua"/>
    <s v=""/>
  </r>
  <r>
    <s v="armsaber"/>
    <s v="ARM"/>
    <n v="1"/>
    <x v="116"/>
    <s v="Seaplane Gunship"/>
    <s v=""/>
    <s v="air_t1_hover_sea"/>
    <n v="13"/>
    <n v="210"/>
    <n v="6400"/>
    <n v="9000"/>
    <n v="0"/>
    <n v="0"/>
    <n v="0"/>
    <n v="157"/>
    <n v="1010"/>
    <n v="4.8095238095238093"/>
    <n v="1"/>
    <m/>
    <n v="1"/>
    <m/>
    <m/>
    <m/>
    <m/>
    <m/>
    <n v="67"/>
    <n v="425"/>
    <m/>
    <m/>
    <m/>
    <n v="595"/>
    <n v="893"/>
    <s v=""/>
    <s v="LaserCannon"/>
    <s v=""/>
    <n v="1"/>
    <s v="ArmSeaplanes/armsaber.lua"/>
    <s v=""/>
  </r>
  <r>
    <s v="armdecom"/>
    <s v="ARM"/>
    <n v="2"/>
    <x v="110"/>
    <s v="Decoy Commander"/>
    <s v=""/>
    <s v="armcom"/>
    <n v="64"/>
    <n v="770"/>
    <n v="12000"/>
    <n v="24000"/>
    <n v="0"/>
    <n v="15"/>
    <n v="300"/>
    <n v="38"/>
    <n v="3700"/>
    <n v="4.8051948051948052"/>
    <n v="1"/>
    <m/>
    <m/>
    <m/>
    <m/>
    <m/>
    <m/>
    <m/>
    <n v="294"/>
    <n v="300"/>
    <m/>
    <n v="450"/>
    <n v="700"/>
    <n v="450"/>
    <n v="675"/>
    <s v="cloak, capturer"/>
    <s v="2x BeamLaser, DGun"/>
    <s v="armmine1, armmine2, armmine3, armsolar, armwin, armmstor, armestor, armmex, armmakr, armrad, armllt, armrl, armtide, armuwms, armuwes, armfmkr"/>
    <n v="1"/>
    <s v="ArmBots/T2/armdecom.lua"/>
    <s v=""/>
  </r>
  <r>
    <s v="armlance"/>
    <s v="ARM"/>
    <n v="2"/>
    <x v="117"/>
    <s v="Torpedo Bomber"/>
    <s v=""/>
    <s v="air_t2_torpbomber"/>
    <n v="12"/>
    <n v="400"/>
    <n v="8000"/>
    <n v="15100"/>
    <n v="0"/>
    <n v="0"/>
    <n v="0"/>
    <n v="285"/>
    <n v="1920"/>
    <n v="4.8"/>
    <m/>
    <m/>
    <n v="1"/>
    <m/>
    <m/>
    <m/>
    <m/>
    <m/>
    <n v="188"/>
    <n v="400"/>
    <m/>
    <n v="800"/>
    <n v="800"/>
    <n v="500"/>
    <n v="750"/>
    <s v=""/>
    <s v="TorpedoLauncher"/>
    <s v=""/>
    <n v="1"/>
    <s v="ArmAircraft/T2/armlance.lua"/>
    <s v=""/>
  </r>
  <r>
    <s v="coresupp"/>
    <s v="CORE"/>
    <n v="1"/>
    <x v="118"/>
    <s v="Light Gun Boat"/>
    <s v=""/>
    <s v="ship_raid"/>
    <n v="11"/>
    <n v="100"/>
    <n v="1000"/>
    <n v="1400"/>
    <n v="0"/>
    <n v="0"/>
    <n v="0"/>
    <n v="110"/>
    <n v="480"/>
    <n v="4.8"/>
    <m/>
    <m/>
    <m/>
    <m/>
    <n v="1"/>
    <m/>
    <m/>
    <m/>
    <n v="91"/>
    <n v="280"/>
    <m/>
    <m/>
    <m/>
    <n v="600"/>
    <n v="900"/>
    <s v=""/>
    <s v="2x BeamLaser"/>
    <s v=""/>
    <n v="1"/>
    <s v="CorShips/coresupp.lua"/>
    <s v=""/>
  </r>
  <r>
    <s v="cortitan"/>
    <s v="CORE"/>
    <n v="2"/>
    <x v="119"/>
    <s v="Torpedo Bomber"/>
    <s v=""/>
    <s v="air_t2_torpbomber"/>
    <n v="14"/>
    <n v="410"/>
    <n v="8200"/>
    <n v="14700"/>
    <n v="0"/>
    <n v="0"/>
    <n v="0"/>
    <n v="279"/>
    <n v="1960"/>
    <n v="4.7804878048780486"/>
    <m/>
    <m/>
    <n v="1"/>
    <m/>
    <m/>
    <m/>
    <m/>
    <m/>
    <n v="150"/>
    <n v="400"/>
    <m/>
    <n v="800"/>
    <n v="800"/>
    <n v="500"/>
    <n v="750"/>
    <s v=""/>
    <s v="TorpedoLauncher"/>
    <s v=""/>
    <n v="1"/>
    <s v="CorAircraft/T2/cortitan.lua"/>
    <s v=""/>
  </r>
  <r>
    <s v="armseap"/>
    <s v="ARM"/>
    <n v="1"/>
    <x v="120"/>
    <s v="Torpedo Gunship"/>
    <s v=""/>
    <s v="air_torp_sea"/>
    <n v="19"/>
    <n v="290"/>
    <n v="6500"/>
    <n v="14800"/>
    <n v="0"/>
    <n v="0"/>
    <n v="0"/>
    <n v="271"/>
    <n v="1380"/>
    <n v="4.7586206896551726"/>
    <n v="1"/>
    <m/>
    <n v="1"/>
    <m/>
    <m/>
    <m/>
    <m/>
    <m/>
    <n v="114"/>
    <n v="600"/>
    <m/>
    <n v="535"/>
    <m/>
    <n v="535"/>
    <n v="803"/>
    <s v=""/>
    <s v="TorpedoLauncher"/>
    <s v=""/>
    <n v="1"/>
    <s v="ArmSeaplanes/armseap.lua"/>
    <s v=""/>
  </r>
  <r>
    <s v="corgol"/>
    <s v="CORE"/>
    <n v="2"/>
    <x v="121"/>
    <s v="Very Heavy Assault Tank"/>
    <s v=""/>
    <s v="vehicle_t2_plasma_aoe"/>
    <n v="35"/>
    <n v="1650"/>
    <n v="22000"/>
    <n v="26100"/>
    <n v="0"/>
    <n v="0"/>
    <n v="0"/>
    <n v="41"/>
    <n v="7800"/>
    <n v="4.7272727272727275"/>
    <m/>
    <m/>
    <m/>
    <m/>
    <m/>
    <m/>
    <m/>
    <m/>
    <n v="300"/>
    <n v="650"/>
    <m/>
    <m/>
    <m/>
    <n v="395"/>
    <n v="593"/>
    <s v=""/>
    <s v="Cannon"/>
    <s v=""/>
    <n v="1"/>
    <s v="CorVehicles/T2/corgol.lua"/>
    <s v=""/>
  </r>
  <r>
    <s v="corsb"/>
    <s v="CORE"/>
    <n v="1"/>
    <x v="122"/>
    <s v="Seaplane Bomber"/>
    <s v=""/>
    <s v="air_bomber_sea"/>
    <n v="14"/>
    <n v="200"/>
    <n v="8200"/>
    <n v="7000"/>
    <n v="0"/>
    <n v="0"/>
    <n v="0"/>
    <n v="240"/>
    <n v="940"/>
    <n v="4.7"/>
    <n v="1"/>
    <m/>
    <n v="1"/>
    <m/>
    <m/>
    <m/>
    <m/>
    <m/>
    <n v="150"/>
    <n v="1280"/>
    <m/>
    <m/>
    <m/>
    <n v="455"/>
    <n v="683"/>
    <s v=""/>
    <s v="AircraftBomb"/>
    <s v=""/>
    <n v="1"/>
    <s v="CorSeaplanes/corsb.lua"/>
    <s v=""/>
  </r>
  <r>
    <s v="corlab"/>
    <s v="CORE"/>
    <n v="1"/>
    <x v="123"/>
    <s v="Produces Tech 1 Bots"/>
    <s v=""/>
    <s v="factory_bot"/>
    <n v="48"/>
    <n v="620"/>
    <n v="1300"/>
    <n v="6500"/>
    <n v="0"/>
    <n v="0"/>
    <n v="100"/>
    <n v="0"/>
    <n v="2900"/>
    <n v="4.67741935483871"/>
    <m/>
    <m/>
    <m/>
    <m/>
    <m/>
    <m/>
    <m/>
    <n v="1"/>
    <n v="0"/>
    <n v="0"/>
    <m/>
    <m/>
    <m/>
    <n v="290"/>
    <n v="435"/>
    <s v=""/>
    <s v=""/>
    <s v="corck, corak, cornecro, corstorm, corthud, corcrash"/>
    <n v="1"/>
    <s v="CorBuildings/LandFactories/corlab.lua"/>
    <s v=""/>
  </r>
  <r>
    <s v="armah"/>
    <s v="ARM"/>
    <n v="1"/>
    <x v="124"/>
    <s v="Anti-Air Hovercraft"/>
    <s v=""/>
    <s v="hover_aa"/>
    <n v="24"/>
    <n v="230"/>
    <n v="4500"/>
    <n v="3560"/>
    <n v="0"/>
    <n v="0"/>
    <n v="0"/>
    <n v="89"/>
    <n v="1070"/>
    <n v="4.6521739130434785"/>
    <m/>
    <m/>
    <m/>
    <n v="1"/>
    <m/>
    <m/>
    <m/>
    <m/>
    <n v="85"/>
    <n v="700"/>
    <m/>
    <n v="350"/>
    <m/>
    <n v="509"/>
    <n v="800"/>
    <s v=""/>
    <s v="MissileLauncher"/>
    <s v=""/>
    <n v="1"/>
    <s v="ArmHovercraft/armah.lua"/>
    <s v=""/>
  </r>
  <r>
    <s v="corseap"/>
    <s v="CORE"/>
    <n v="1"/>
    <x v="125"/>
    <s v="Torpedo Gunship"/>
    <s v=""/>
    <s v="air_torp_sea"/>
    <n v="16"/>
    <n v="230"/>
    <n v="5500"/>
    <n v="10700"/>
    <n v="0"/>
    <n v="0"/>
    <n v="0"/>
    <n v="266"/>
    <n v="1070"/>
    <n v="4.6521739130434785"/>
    <n v="1"/>
    <m/>
    <n v="1"/>
    <m/>
    <m/>
    <m/>
    <m/>
    <m/>
    <n v="68"/>
    <n v="600"/>
    <m/>
    <n v="535"/>
    <m/>
    <n v="535"/>
    <n v="803"/>
    <s v=""/>
    <s v="TorpedoLauncher"/>
    <s v=""/>
    <n v="1"/>
    <s v="CorSeaplanes/corseap.lua"/>
    <s v=""/>
  </r>
  <r>
    <s v="cortide"/>
    <s v="CORE"/>
    <n v="1"/>
    <x v="126"/>
    <s v="Produces Energy (depends on map)"/>
    <s v=""/>
    <s v="energy1_1.0"/>
    <n v="24"/>
    <n v="85"/>
    <n v="250"/>
    <n v="2100"/>
    <n v="0"/>
    <n v="0"/>
    <n v="0"/>
    <n v="0"/>
    <n v="395"/>
    <n v="4.6470588235294121"/>
    <m/>
    <m/>
    <m/>
    <m/>
    <m/>
    <m/>
    <m/>
    <n v="1"/>
    <n v="0"/>
    <n v="0"/>
    <m/>
    <m/>
    <m/>
    <n v="130"/>
    <n v="195"/>
    <s v=""/>
    <s v=""/>
    <s v=""/>
    <n v="1"/>
    <s v="CorBuildings/SeaEconomy/cortide.lua"/>
    <s v=""/>
  </r>
  <r>
    <s v="armsehak"/>
    <s v="ARM"/>
    <n v="1"/>
    <x v="127"/>
    <s v="Advanced Radar / Sonar Plane"/>
    <s v=""/>
    <s v="air_los_sea"/>
    <n v="29"/>
    <n v="125"/>
    <n v="7000"/>
    <n v="9050"/>
    <n v="0"/>
    <n v="0"/>
    <n v="0"/>
    <n v="338"/>
    <n v="580"/>
    <n v="4.6399999999999997"/>
    <n v="1"/>
    <m/>
    <n v="1"/>
    <m/>
    <m/>
    <m/>
    <m/>
    <m/>
    <n v="0"/>
    <n v="0"/>
    <m/>
    <n v="900"/>
    <n v="2250"/>
    <n v="1100"/>
    <n v="1650"/>
    <s v="radar"/>
    <s v=""/>
    <s v=""/>
    <n v="1"/>
    <s v="ArmSeaplanes/armsehak.lua"/>
    <s v=""/>
  </r>
  <r>
    <s v="armthund"/>
    <s v="ARM"/>
    <n v="1"/>
    <x v="128"/>
    <s v="Bomber"/>
    <s v=""/>
    <s v="air_bomber"/>
    <n v="16"/>
    <n v="145"/>
    <n v="4200"/>
    <n v="4780"/>
    <n v="0"/>
    <n v="0"/>
    <n v="0"/>
    <n v="255"/>
    <n v="670"/>
    <n v="4.6206896551724137"/>
    <m/>
    <m/>
    <n v="1"/>
    <m/>
    <m/>
    <m/>
    <m/>
    <m/>
    <n v="88"/>
    <n v="1280"/>
    <m/>
    <m/>
    <m/>
    <n v="195"/>
    <n v="293"/>
    <s v=""/>
    <s v="AircraftBomb"/>
    <s v=""/>
    <n v="1"/>
    <s v="ArmAircraft/armthund.lua"/>
    <s v=""/>
  </r>
  <r>
    <s v="armgremlin"/>
    <s v="ARM"/>
    <n v="2"/>
    <x v="129"/>
    <s v="Stealth Tank"/>
    <s v=""/>
    <s v="armst_1.25"/>
    <n v="18"/>
    <n v="230"/>
    <n v="3700"/>
    <n v="6700"/>
    <n v="0"/>
    <n v="0"/>
    <n v="0"/>
    <n v="71"/>
    <n v="1060"/>
    <n v="4.6086956521739131"/>
    <m/>
    <m/>
    <m/>
    <m/>
    <m/>
    <m/>
    <m/>
    <m/>
    <n v="88"/>
    <n v="220"/>
    <m/>
    <m/>
    <m/>
    <n v="494"/>
    <n v="741"/>
    <s v="cloak, stealth"/>
    <s v="Cannon"/>
    <s v=""/>
    <n v="1"/>
    <s v="ArmVehicles/T2/armgremlin.lua"/>
    <s v=""/>
  </r>
  <r>
    <s v="armlun"/>
    <s v="ARM"/>
    <n v="3"/>
    <x v="130"/>
    <s v="Heavy Hovertank"/>
    <s v=""/>
    <s v="armlun_1.8"/>
    <n v="24"/>
    <n v="1150"/>
    <n v="23000"/>
    <n v="32000"/>
    <n v="0"/>
    <n v="0"/>
    <n v="0"/>
    <n v="50"/>
    <n v="5300"/>
    <n v="4.6086956521739131"/>
    <m/>
    <m/>
    <m/>
    <n v="1"/>
    <m/>
    <m/>
    <m/>
    <m/>
    <n v="318"/>
    <n v="575"/>
    <m/>
    <n v="550"/>
    <m/>
    <n v="620"/>
    <n v="930"/>
    <s v=""/>
    <s v="Cannon, TorpedoLauncher"/>
    <s v=""/>
    <n v="1"/>
    <s v="ArmGantry/armlun.lua"/>
    <s v=""/>
  </r>
  <r>
    <s v="corspec"/>
    <s v="CORE"/>
    <n v="2"/>
    <x v="131"/>
    <s v="Radar Jammer Bot"/>
    <s v=""/>
    <s v="bot_t2_jammer"/>
    <n v="38"/>
    <n v="75"/>
    <n v="1550"/>
    <n v="5440"/>
    <n v="0"/>
    <n v="0"/>
    <n v="0"/>
    <n v="39"/>
    <n v="345"/>
    <n v="4.5999999999999996"/>
    <m/>
    <m/>
    <m/>
    <m/>
    <m/>
    <m/>
    <m/>
    <m/>
    <n v="0"/>
    <n v="0"/>
    <n v="450"/>
    <m/>
    <m/>
    <n v="250"/>
    <n v="375"/>
    <s v="jammer"/>
    <s v=""/>
    <s v=""/>
    <n v="1"/>
    <s v="CorBots/T2/corspec.lua"/>
    <s v=""/>
  </r>
  <r>
    <s v="armart"/>
    <s v="ARM"/>
    <n v="1"/>
    <x v="132"/>
    <s v="Light Artillery Vehicle"/>
    <s v=""/>
    <s v="vehicle_arty"/>
    <n v="31"/>
    <n v="135"/>
    <n v="2200"/>
    <n v="3000"/>
    <n v="0"/>
    <n v="0"/>
    <n v="0"/>
    <n v="54"/>
    <n v="620"/>
    <n v="4.5925925925925926"/>
    <m/>
    <m/>
    <m/>
    <m/>
    <m/>
    <m/>
    <m/>
    <m/>
    <n v="42"/>
    <n v="710"/>
    <m/>
    <m/>
    <m/>
    <n v="364"/>
    <n v="546"/>
    <s v=""/>
    <s v="Cannon"/>
    <s v=""/>
    <n v="1"/>
    <s v="ArmVehicles/armart.lua"/>
    <s v=""/>
  </r>
  <r>
    <s v="corshad"/>
    <s v="CORE"/>
    <n v="1"/>
    <x v="133"/>
    <s v="Bomber"/>
    <s v=""/>
    <s v="air_bomber"/>
    <n v="15"/>
    <n v="150"/>
    <n v="4600"/>
    <n v="5050"/>
    <n v="0"/>
    <n v="0"/>
    <n v="0"/>
    <n v="234"/>
    <n v="680"/>
    <n v="4.5333333333333332"/>
    <m/>
    <m/>
    <n v="1"/>
    <m/>
    <m/>
    <m/>
    <m/>
    <m/>
    <n v="93"/>
    <n v="1280"/>
    <m/>
    <m/>
    <m/>
    <n v="169"/>
    <n v="254"/>
    <s v=""/>
    <s v="AircraftBomb"/>
    <s v=""/>
    <n v="1"/>
    <s v="CorAircraft/corshad.lua"/>
    <s v=""/>
  </r>
  <r>
    <s v="armmoho"/>
    <s v="ARM"/>
    <n v="2"/>
    <x v="64"/>
    <s v="Advanced Metal Extractor / Storage"/>
    <s v=""/>
    <s v="mex_t2"/>
    <n v="71"/>
    <n v="620"/>
    <n v="7700"/>
    <n v="14900"/>
    <n v="0"/>
    <n v="0"/>
    <n v="0"/>
    <n v="0"/>
    <n v="2800"/>
    <n v="4.5161290322580649"/>
    <m/>
    <m/>
    <m/>
    <m/>
    <m/>
    <m/>
    <m/>
    <n v="1"/>
    <n v="0"/>
    <n v="0"/>
    <m/>
    <m/>
    <m/>
    <n v="273"/>
    <n v="410"/>
    <s v=""/>
    <s v=""/>
    <s v=""/>
    <n v="1"/>
    <s v="ArmBuildings/LandEconomy/armmoho.lua"/>
    <s v=""/>
  </r>
  <r>
    <s v="armuwmme"/>
    <s v="ARM"/>
    <n v="2"/>
    <x v="65"/>
    <s v="Advanced Metal Extractor / Storage"/>
    <s v=""/>
    <s v="mex_t2"/>
    <n v="68"/>
    <n v="620"/>
    <n v="7700"/>
    <n v="14900"/>
    <n v="0"/>
    <n v="0"/>
    <n v="0"/>
    <n v="0"/>
    <n v="2800"/>
    <n v="4.5161290322580649"/>
    <m/>
    <n v="1"/>
    <m/>
    <m/>
    <m/>
    <m/>
    <m/>
    <n v="1"/>
    <n v="0"/>
    <n v="0"/>
    <m/>
    <m/>
    <m/>
    <n v="182"/>
    <n v="273"/>
    <s v=""/>
    <s v=""/>
    <s v=""/>
    <n v="1"/>
    <s v="ArmBuildings/SeaEconomy/armuwmme.lua"/>
    <s v=""/>
  </r>
  <r>
    <s v="armamph"/>
    <s v="ARM"/>
    <n v="2"/>
    <x v="134"/>
    <s v="Amphibious Bot"/>
    <s v=""/>
    <s v="amph_t2_aa"/>
    <n v="33"/>
    <n v="260"/>
    <n v="2700"/>
    <n v="5200"/>
    <n v="0"/>
    <n v="0"/>
    <n v="0"/>
    <n v="90"/>
    <n v="1170"/>
    <n v="4.5"/>
    <m/>
    <m/>
    <m/>
    <n v="1"/>
    <m/>
    <m/>
    <m/>
    <m/>
    <n v="152"/>
    <n v="600"/>
    <m/>
    <m/>
    <m/>
    <n v="377"/>
    <n v="566"/>
    <s v=""/>
    <s v="BeamLaser, MissileLauncher"/>
    <s v=""/>
    <n v="1"/>
    <s v="ArmBots/T2/armamph.lua"/>
    <s v=""/>
  </r>
  <r>
    <s v="corah"/>
    <s v="CORE"/>
    <n v="1"/>
    <x v="135"/>
    <s v="Anti-Air Hovercraft"/>
    <s v=""/>
    <s v="hover_aa"/>
    <n v="22"/>
    <n v="250"/>
    <n v="4700"/>
    <n v="3650"/>
    <n v="0"/>
    <n v="0"/>
    <n v="0"/>
    <n v="89"/>
    <n v="1120"/>
    <n v="4.4800000000000004"/>
    <m/>
    <m/>
    <m/>
    <n v="1"/>
    <m/>
    <m/>
    <m/>
    <m/>
    <n v="85"/>
    <n v="700"/>
    <m/>
    <n v="350"/>
    <m/>
    <n v="509"/>
    <n v="800"/>
    <s v=""/>
    <s v="MissileLauncher"/>
    <s v=""/>
    <n v="1"/>
    <s v="CorHovercraft/corah.lua"/>
    <s v=""/>
  </r>
  <r>
    <s v="armlab"/>
    <s v="ARM"/>
    <n v="1"/>
    <x v="123"/>
    <s v="Produces Tech 1 Bots"/>
    <s v=""/>
    <s v="factory_bot"/>
    <n v="28"/>
    <n v="650"/>
    <n v="1200"/>
    <n v="6500"/>
    <n v="0"/>
    <n v="0"/>
    <n v="100"/>
    <n v="0"/>
    <n v="2900"/>
    <n v="4.4615384615384617"/>
    <m/>
    <m/>
    <m/>
    <m/>
    <m/>
    <m/>
    <m/>
    <n v="1"/>
    <n v="0"/>
    <n v="0"/>
    <m/>
    <m/>
    <m/>
    <n v="290"/>
    <n v="435"/>
    <s v=""/>
    <s v=""/>
    <s v="armck, armpw, armrectr, armrock, armham, armjeth, armwar, armflea"/>
    <n v="1"/>
    <s v="ArmBuildings/LandFactories/armlab.lua"/>
    <s v=""/>
  </r>
  <r>
    <s v="armkraken"/>
    <s v="ARM"/>
    <n v="2"/>
    <x v="136"/>
    <s v="Floating Rapid-fire Plasma Tower"/>
    <s v=""/>
    <s v="def_t2_cannon"/>
    <n v="64"/>
    <n v="1000"/>
    <n v="13000"/>
    <n v="20000"/>
    <n v="0"/>
    <n v="0"/>
    <n v="0"/>
    <n v="0"/>
    <n v="4450"/>
    <n v="4.45"/>
    <m/>
    <m/>
    <m/>
    <m/>
    <m/>
    <m/>
    <m/>
    <n v="1"/>
    <n v="540"/>
    <n v="800"/>
    <m/>
    <m/>
    <m/>
    <n v="700"/>
    <n v="1050"/>
    <s v=""/>
    <s v="Cannon"/>
    <s v=""/>
    <n v="1"/>
    <s v="ArmBuildings/SeaDefence/armkraken.lua"/>
    <s v=""/>
  </r>
  <r>
    <s v="corasp"/>
    <s v="CORE"/>
    <n v="1"/>
    <x v="137"/>
    <s v="Automatically Repairs Aircraft"/>
    <s v=""/>
    <s v="corasp_2.4"/>
    <n v="57"/>
    <n v="400"/>
    <n v="4400"/>
    <n v="9300"/>
    <n v="0"/>
    <n v="0"/>
    <n v="1000"/>
    <n v="0"/>
    <n v="1780"/>
    <n v="4.45"/>
    <m/>
    <m/>
    <m/>
    <m/>
    <m/>
    <m/>
    <m/>
    <n v="1"/>
    <n v="0"/>
    <n v="0"/>
    <m/>
    <m/>
    <m/>
    <n v="358"/>
    <n v="536"/>
    <s v="airbase"/>
    <s v=""/>
    <s v=""/>
    <n v="1"/>
    <s v="CorBuildings/LandUtil/corasp.lua"/>
    <s v=""/>
  </r>
  <r>
    <s v="corfasp"/>
    <s v="CORE"/>
    <n v="2"/>
    <x v="137"/>
    <s v="Automatically Repairs Aircraft"/>
    <s v=""/>
    <s v="corasp_2.4"/>
    <n v="33"/>
    <n v="400"/>
    <n v="4400"/>
    <n v="9300"/>
    <n v="0"/>
    <n v="0"/>
    <n v="1000"/>
    <n v="0"/>
    <n v="1780"/>
    <n v="4.45"/>
    <m/>
    <m/>
    <m/>
    <m/>
    <m/>
    <m/>
    <m/>
    <n v="1"/>
    <n v="0"/>
    <n v="0"/>
    <m/>
    <m/>
    <m/>
    <n v="358"/>
    <n v="536"/>
    <s v="airbase"/>
    <s v=""/>
    <s v=""/>
    <n v="1"/>
    <s v="CorBuildings/SeaUtil/corfasp.lua"/>
    <s v=""/>
  </r>
  <r>
    <s v="armtide"/>
    <s v="ARM"/>
    <n v="1"/>
    <x v="126"/>
    <s v="Produces Energy (depends on map)"/>
    <s v=""/>
    <s v="energy1_1.0"/>
    <n v="15"/>
    <n v="90"/>
    <n v="250"/>
    <n v="2190"/>
    <n v="0"/>
    <n v="0"/>
    <n v="0"/>
    <n v="0"/>
    <n v="400"/>
    <n v="4.4444444444444446"/>
    <m/>
    <m/>
    <m/>
    <m/>
    <m/>
    <m/>
    <m/>
    <n v="1"/>
    <n v="0"/>
    <n v="0"/>
    <m/>
    <m/>
    <m/>
    <n v="130"/>
    <n v="195"/>
    <s v=""/>
    <s v=""/>
    <s v=""/>
    <n v="1"/>
    <s v="ArmBuildings/SeaEconomy/armtide.lua"/>
    <s v=""/>
  </r>
  <r>
    <s v="armspid"/>
    <s v="ARM"/>
    <n v="2"/>
    <x v="138"/>
    <s v="All-Terrain EMP and Reclaiming Spider"/>
    <s v=""/>
    <s v="allterrain_emp"/>
    <n v="13"/>
    <n v="250"/>
    <n v="5000"/>
    <n v="5100"/>
    <n v="0"/>
    <n v="0"/>
    <n v="150"/>
    <n v="72"/>
    <n v="1110"/>
    <n v="4.4400000000000004"/>
    <m/>
    <m/>
    <m/>
    <m/>
    <m/>
    <m/>
    <m/>
    <m/>
    <n v="0"/>
    <n v="280"/>
    <m/>
    <m/>
    <m/>
    <n v="550"/>
    <n v="825"/>
    <s v="stealth"/>
    <s v="EMP-BeamLaser"/>
    <s v=""/>
    <n v="1"/>
    <s v="ArmBots/T2/armspid.lua"/>
    <s v=""/>
  </r>
  <r>
    <s v="corwin"/>
    <s v="CORE"/>
    <n v="1"/>
    <x v="98"/>
    <s v="Produces Energy. Depends on wind strength."/>
    <s v=""/>
    <s v="wind"/>
    <n v="67"/>
    <n v="45"/>
    <n v="175"/>
    <n v="1680"/>
    <n v="0"/>
    <n v="0"/>
    <n v="0"/>
    <n v="0"/>
    <n v="199"/>
    <n v="4.4222222222222225"/>
    <m/>
    <m/>
    <m/>
    <m/>
    <m/>
    <m/>
    <m/>
    <n v="1"/>
    <n v="0"/>
    <n v="0"/>
    <m/>
    <m/>
    <m/>
    <n v="273"/>
    <n v="410"/>
    <s v=""/>
    <s v=""/>
    <s v=""/>
    <n v="1"/>
    <s v="CorBuildings/LandEconomy/corwin.lua"/>
    <s v=""/>
  </r>
  <r>
    <s v="corsok"/>
    <s v="CORE"/>
    <n v="3"/>
    <x v="139"/>
    <s v="Heavy Laser Hovertank"/>
    <s v=""/>
    <s v="corsok_1.8"/>
    <n v="40"/>
    <n v="950"/>
    <n v="19000"/>
    <n v="27000"/>
    <n v="0"/>
    <n v="0"/>
    <n v="0"/>
    <n v="45"/>
    <n v="4200"/>
    <n v="4.4210526315789478"/>
    <m/>
    <m/>
    <m/>
    <n v="1"/>
    <m/>
    <m/>
    <m/>
    <m/>
    <n v="279"/>
    <n v="725"/>
    <m/>
    <n v="550"/>
    <m/>
    <n v="650"/>
    <n v="975"/>
    <s v=""/>
    <s v="TorpedoLauncher, LaserCannon"/>
    <s v=""/>
    <n v="1"/>
    <s v="CorGantry/corsok.lua"/>
    <s v=""/>
  </r>
  <r>
    <s v="corwolv"/>
    <s v="CORE"/>
    <n v="1"/>
    <x v="140"/>
    <s v="Light Mobile Artillery"/>
    <s v=""/>
    <s v="vehicle_arty"/>
    <n v="36"/>
    <n v="170"/>
    <n v="2500"/>
    <n v="3550"/>
    <n v="0"/>
    <n v="0"/>
    <n v="0"/>
    <n v="48"/>
    <n v="750"/>
    <n v="4.4117647058823533"/>
    <m/>
    <m/>
    <m/>
    <m/>
    <m/>
    <m/>
    <m/>
    <m/>
    <n v="42"/>
    <n v="710"/>
    <m/>
    <m/>
    <m/>
    <n v="299"/>
    <n v="449"/>
    <s v=""/>
    <s v="Cannon"/>
    <s v=""/>
    <n v="1"/>
    <s v="CorVehicles/corwolv.lua"/>
    <s v=""/>
  </r>
  <r>
    <s v="corcut"/>
    <s v="CORE"/>
    <n v="1"/>
    <x v="141"/>
    <s v="Seaplane Gunship"/>
    <s v=""/>
    <s v="air_t1_hover_sea_cannon"/>
    <n v="14"/>
    <n v="230"/>
    <n v="5400"/>
    <n v="9470"/>
    <n v="0"/>
    <n v="0"/>
    <n v="0"/>
    <n v="152"/>
    <n v="1010"/>
    <n v="4.3913043478260869"/>
    <n v="1"/>
    <m/>
    <n v="1"/>
    <m/>
    <m/>
    <m/>
    <m/>
    <m/>
    <n v="72"/>
    <n v="430"/>
    <m/>
    <m/>
    <m/>
    <n v="595"/>
    <n v="893"/>
    <s v=""/>
    <s v="Cannon"/>
    <s v=""/>
    <n v="1"/>
    <s v="CorSeaplanes/corcut.lua"/>
    <s v=""/>
  </r>
  <r>
    <s v="corfrt"/>
    <s v="CORE"/>
    <n v="1"/>
    <x v="142"/>
    <s v="Floating Anti-air Tower"/>
    <s v=""/>
    <s v="aa"/>
    <n v="50"/>
    <n v="90"/>
    <n v="1000"/>
    <n v="2200"/>
    <n v="0"/>
    <n v="0"/>
    <n v="0"/>
    <n v="0"/>
    <n v="395"/>
    <n v="4.3888888888888893"/>
    <m/>
    <m/>
    <m/>
    <m/>
    <m/>
    <m/>
    <m/>
    <n v="1"/>
    <n v="96"/>
    <n v="765"/>
    <m/>
    <m/>
    <m/>
    <n v="468"/>
    <n v="750"/>
    <s v=""/>
    <s v="MissileLauncher"/>
    <s v=""/>
    <n v="1"/>
    <s v="CorBuildings/SeaDefence/corfrt.lua"/>
    <s v=""/>
  </r>
  <r>
    <s v="armaser"/>
    <s v="ARM"/>
    <n v="2"/>
    <x v="143"/>
    <s v="Radar Jammer Bot"/>
    <s v=""/>
    <s v="bot_t2_jammer"/>
    <n v="34"/>
    <n v="78"/>
    <n v="1400"/>
    <n v="4940"/>
    <n v="0"/>
    <n v="0"/>
    <n v="0"/>
    <n v="48"/>
    <n v="340"/>
    <n v="4.3589743589743586"/>
    <m/>
    <m/>
    <m/>
    <m/>
    <m/>
    <m/>
    <m/>
    <m/>
    <n v="0"/>
    <n v="0"/>
    <n v="450"/>
    <m/>
    <m/>
    <n v="260"/>
    <n v="390"/>
    <s v="jammer"/>
    <s v=""/>
    <s v=""/>
    <n v="1"/>
    <s v="ArmBots/T2/armaser.lua"/>
    <s v=""/>
  </r>
  <r>
    <s v="armconsul"/>
    <s v="ARM"/>
    <n v="2"/>
    <x v="144"/>
    <s v="Combat Engineer"/>
    <s v=""/>
    <s v="armconsul_1.35"/>
    <n v="33"/>
    <n v="250"/>
    <n v="4300"/>
    <n v="6800"/>
    <n v="0"/>
    <n v="15"/>
    <n v="150"/>
    <n v="78"/>
    <n v="1080"/>
    <n v="4.32"/>
    <m/>
    <m/>
    <m/>
    <m/>
    <m/>
    <m/>
    <m/>
    <m/>
    <n v="0"/>
    <n v="0"/>
    <m/>
    <m/>
    <m/>
    <n v="500"/>
    <n v="750"/>
    <s v=""/>
    <s v=""/>
    <s v="armsolar, armmex, armvp, armnanotc, armeyes, armveil, armfort, armarad, armmine2, armdl, armbeamer, armamb, armferret, armflak, armcv, armpw, armjeth, armspid, armfast, armmav, armcs, armroy, armamph"/>
    <n v="1"/>
    <s v="ArmVehicles/T2/armconsul.lua"/>
    <s v=""/>
  </r>
  <r>
    <s v="armjanus"/>
    <s v="ARM"/>
    <n v="1"/>
    <x v="145"/>
    <s v="Twin Medium Rocket Launcher"/>
    <s v=""/>
    <s v="armjanus_1.2"/>
    <n v="19"/>
    <n v="240"/>
    <n v="2600"/>
    <n v="3550"/>
    <n v="0"/>
    <n v="0"/>
    <n v="0"/>
    <n v="54"/>
    <n v="1030"/>
    <n v="4.291666666666667"/>
    <m/>
    <m/>
    <m/>
    <m/>
    <m/>
    <m/>
    <m/>
    <m/>
    <n v="88"/>
    <n v="380"/>
    <m/>
    <m/>
    <m/>
    <n v="325"/>
    <n v="488"/>
    <s v=""/>
    <s v="2x MissileLauncher"/>
    <s v=""/>
    <n v="1"/>
    <s v="ArmVehicles/armjanus.lua"/>
    <s v=""/>
  </r>
  <r>
    <s v="corfship"/>
    <s v="CORE"/>
    <n v="2"/>
    <x v="146"/>
    <s v="Anti-Swarm Ship"/>
    <s v=""/>
    <s v="ship_t2_flame"/>
    <n v="15"/>
    <n v="630"/>
    <n v="9400"/>
    <n v="9400"/>
    <n v="0"/>
    <n v="0"/>
    <n v="0"/>
    <n v="93"/>
    <n v="2700"/>
    <n v="4.2857142857142856"/>
    <m/>
    <m/>
    <m/>
    <m/>
    <n v="1"/>
    <m/>
    <m/>
    <m/>
    <n v="444"/>
    <n v="710"/>
    <m/>
    <m/>
    <n v="750"/>
    <n v="500"/>
    <n v="750"/>
    <s v=""/>
    <s v="MissileLauncher, Flame"/>
    <s v=""/>
    <n v="1"/>
    <s v="CorShips/T2/corfship.lua"/>
    <s v=""/>
  </r>
  <r>
    <s v="armfido"/>
    <s v="ARM"/>
    <n v="2"/>
    <x v="147"/>
    <s v="Mortar / Skirmish Bot"/>
    <s v=""/>
    <s v="bot_arty_t2"/>
    <n v="29"/>
    <n v="300"/>
    <n v="6300"/>
    <n v="6230"/>
    <n v="0"/>
    <n v="0"/>
    <n v="0"/>
    <n v="69"/>
    <n v="1280"/>
    <n v="4.2666666666666666"/>
    <m/>
    <m/>
    <m/>
    <m/>
    <m/>
    <m/>
    <m/>
    <m/>
    <n v="143"/>
    <n v="650"/>
    <m/>
    <m/>
    <m/>
    <n v="400"/>
    <n v="600"/>
    <s v=""/>
    <s v="2x Cannon"/>
    <s v=""/>
    <n v="1"/>
    <s v="ArmBots/T2/armfido.lua"/>
    <s v=""/>
  </r>
  <r>
    <s v="corpt"/>
    <s v="CORE"/>
    <n v="1"/>
    <x v="148"/>
    <s v="Missile Corvette / Light Anti Air / Sonar"/>
    <s v=""/>
    <s v="ship"/>
    <n v="13"/>
    <n v="210"/>
    <n v="1400"/>
    <n v="2500"/>
    <n v="0"/>
    <n v="0"/>
    <n v="0"/>
    <n v="69"/>
    <n v="890"/>
    <n v="4.2380952380952381"/>
    <m/>
    <m/>
    <m/>
    <m/>
    <n v="1"/>
    <m/>
    <m/>
    <m/>
    <n v="84"/>
    <n v="750"/>
    <m/>
    <n v="400"/>
    <n v="1000"/>
    <n v="670"/>
    <n v="800"/>
    <s v="radar"/>
    <s v="2x MissileLauncher"/>
    <s v=""/>
    <n v="1"/>
    <s v="CorShips/corpt.lua"/>
    <s v=""/>
  </r>
  <r>
    <s v="armfrt"/>
    <s v="ARM"/>
    <n v="1"/>
    <x v="149"/>
    <s v="Floating Anti-air Tower"/>
    <s v=""/>
    <s v="aa"/>
    <n v="60"/>
    <n v="90"/>
    <n v="1000"/>
    <n v="2200"/>
    <n v="0"/>
    <n v="0"/>
    <n v="0"/>
    <n v="0"/>
    <n v="380"/>
    <n v="4.2222222222222223"/>
    <m/>
    <m/>
    <m/>
    <m/>
    <m/>
    <m/>
    <m/>
    <n v="1"/>
    <n v="96"/>
    <n v="765"/>
    <m/>
    <m/>
    <m/>
    <n v="468"/>
    <n v="750"/>
    <s v=""/>
    <s v="MissileLauncher"/>
    <s v=""/>
    <n v="1"/>
    <s v="ArmBuildings/SeaDefence/armfrt.lua"/>
    <s v=""/>
  </r>
  <r>
    <s v="corape"/>
    <s v="CORE"/>
    <n v="2"/>
    <x v="150"/>
    <s v="Gunship"/>
    <s v=""/>
    <s v="air_t2_hover_missile"/>
    <n v="23"/>
    <n v="370"/>
    <n v="6800"/>
    <n v="14500"/>
    <n v="0"/>
    <n v="0"/>
    <n v="0"/>
    <n v="159"/>
    <n v="1560"/>
    <n v="4.2162162162162158"/>
    <m/>
    <m/>
    <n v="1"/>
    <m/>
    <m/>
    <m/>
    <m/>
    <m/>
    <n v="111"/>
    <n v="410"/>
    <m/>
    <m/>
    <m/>
    <n v="550"/>
    <n v="825"/>
    <s v=""/>
    <s v="MissileLauncher"/>
    <s v=""/>
    <n v="1"/>
    <s v="CorAircraft/T2/corape.lua"/>
    <s v=""/>
  </r>
  <r>
    <s v="corhvytrans"/>
    <s v="CORE"/>
    <n v="1"/>
    <x v="151"/>
    <s v="Heavy Transport"/>
    <s v=""/>
    <s v="air_trans"/>
    <n v="23"/>
    <n v="190"/>
    <n v="4000"/>
    <n v="8500"/>
    <n v="0"/>
    <n v="0"/>
    <n v="0"/>
    <n v="100"/>
    <n v="800"/>
    <n v="4.2105263157894735"/>
    <m/>
    <m/>
    <n v="1"/>
    <m/>
    <m/>
    <m/>
    <m/>
    <m/>
    <n v="0"/>
    <n v="0"/>
    <m/>
    <m/>
    <m/>
    <n v="260"/>
    <n v="390"/>
    <s v="transport"/>
    <s v=""/>
    <s v=""/>
    <n v="1"/>
    <s v="CorAircraft/corhvytrans.lua"/>
    <s v=""/>
  </r>
  <r>
    <s v="armroy"/>
    <s v="ARM"/>
    <n v="1"/>
    <x v="152"/>
    <s v="Destroyer"/>
    <s v=""/>
    <s v="ship_destroyer"/>
    <n v="28"/>
    <n v="880"/>
    <n v="6600"/>
    <n v="10200"/>
    <n v="0"/>
    <n v="0"/>
    <n v="0"/>
    <n v="67"/>
    <n v="3700"/>
    <n v="4.2045454545454541"/>
    <m/>
    <m/>
    <m/>
    <m/>
    <n v="1"/>
    <m/>
    <m/>
    <m/>
    <n v="259"/>
    <n v="700"/>
    <m/>
    <n v="375"/>
    <m/>
    <n v="500"/>
    <n v="750"/>
    <s v=""/>
    <s v="Cannon, TorpedoLauncher"/>
    <s v=""/>
    <n v="1"/>
    <s v="ArmShips/armroy.lua"/>
    <s v=""/>
  </r>
  <r>
    <s v="corrl"/>
    <s v="CORE"/>
    <n v="1"/>
    <x v="153"/>
    <s v="Light Anti-air Tower"/>
    <s v=""/>
    <s v="aa"/>
    <n v="51"/>
    <n v="80"/>
    <n v="850"/>
    <n v="1750"/>
    <n v="0"/>
    <n v="0"/>
    <n v="0"/>
    <n v="0"/>
    <n v="335"/>
    <n v="4.1875"/>
    <m/>
    <m/>
    <m/>
    <m/>
    <m/>
    <m/>
    <m/>
    <n v="1"/>
    <n v="68"/>
    <n v="765"/>
    <m/>
    <m/>
    <m/>
    <n v="455"/>
    <n v="700"/>
    <s v=""/>
    <s v="MissileLauncher"/>
    <s v=""/>
    <n v="1"/>
    <s v="CorBuildings/LandDefenceOffence/corrl.lua"/>
    <s v=""/>
  </r>
  <r>
    <s v="armasp"/>
    <s v="ARM"/>
    <n v="1"/>
    <x v="137"/>
    <s v="Automatically Repairs Aircraft"/>
    <s v=""/>
    <s v="armasp_2.4"/>
    <n v="62"/>
    <n v="400"/>
    <n v="4300"/>
    <n v="9100"/>
    <n v="0"/>
    <n v="0"/>
    <n v="1000"/>
    <n v="0"/>
    <n v="1670"/>
    <n v="4.1749999999999998"/>
    <m/>
    <m/>
    <m/>
    <m/>
    <m/>
    <m/>
    <m/>
    <n v="1"/>
    <n v="0"/>
    <n v="0"/>
    <m/>
    <m/>
    <m/>
    <n v="358"/>
    <n v="536"/>
    <s v="airbase"/>
    <s v=""/>
    <s v=""/>
    <n v="1"/>
    <s v="ArmBuildings/LandUtil/armasp.lua"/>
    <s v=""/>
  </r>
  <r>
    <s v="armfasp"/>
    <s v="ARM"/>
    <n v="2"/>
    <x v="137"/>
    <s v="Automatically Repairs Aircraft"/>
    <s v=""/>
    <s v="armasp_2.4"/>
    <n v="59"/>
    <n v="400"/>
    <n v="4300"/>
    <n v="9100"/>
    <n v="0"/>
    <n v="0"/>
    <n v="1000"/>
    <n v="0"/>
    <n v="1670"/>
    <n v="4.1749999999999998"/>
    <m/>
    <m/>
    <m/>
    <m/>
    <m/>
    <m/>
    <m/>
    <n v="1"/>
    <n v="0"/>
    <n v="0"/>
    <m/>
    <m/>
    <m/>
    <n v="358"/>
    <n v="536"/>
    <s v="airbase"/>
    <s v=""/>
    <s v=""/>
    <n v="1"/>
    <s v="ArmBuildings/SeaUtil/armfasp.lua"/>
    <s v=""/>
  </r>
  <r>
    <s v="corfhp"/>
    <s v="CORE"/>
    <n v="1"/>
    <x v="154"/>
    <s v="Builds Hovercraft"/>
    <s v=""/>
    <s v="factory_hover"/>
    <n v="40"/>
    <n v="900"/>
    <n v="3000"/>
    <n v="11000"/>
    <n v="0"/>
    <n v="0"/>
    <n v="100"/>
    <n v="0"/>
    <n v="3750"/>
    <n v="4.166666666666667"/>
    <m/>
    <m/>
    <m/>
    <m/>
    <m/>
    <m/>
    <m/>
    <n v="1"/>
    <n v="0"/>
    <n v="0"/>
    <m/>
    <m/>
    <m/>
    <n v="312"/>
    <n v="468"/>
    <s v=""/>
    <s v=""/>
    <s v="corch, corsh, corsnap, corah, cormh, corhal"/>
    <n v="1"/>
    <s v="CorBuildings/SeaFactories/corfhp.lua"/>
    <s v=""/>
  </r>
  <r>
    <s v="corhp"/>
    <s v="CORE"/>
    <n v="1"/>
    <x v="155"/>
    <s v="Builds Hovercraft"/>
    <s v=""/>
    <s v="factory_hover"/>
    <n v="29"/>
    <n v="900"/>
    <n v="3000"/>
    <n v="11000"/>
    <n v="0"/>
    <n v="0"/>
    <n v="100"/>
    <n v="0"/>
    <n v="3750"/>
    <n v="4.166666666666667"/>
    <m/>
    <m/>
    <m/>
    <m/>
    <m/>
    <m/>
    <m/>
    <n v="1"/>
    <n v="0"/>
    <n v="0"/>
    <m/>
    <m/>
    <m/>
    <n v="312"/>
    <n v="468"/>
    <s v=""/>
    <s v=""/>
    <s v="corch, corsh, corsnap, corah, cormh, corhal"/>
    <n v="1"/>
    <s v="CorBuildings/LandFactories/corhp.lua"/>
    <s v=""/>
  </r>
  <r>
    <s v="corvp"/>
    <s v="CORE"/>
    <n v="1"/>
    <x v="156"/>
    <s v="Produces Tech 1 Vehicles"/>
    <s v=""/>
    <s v="factory_vehicle"/>
    <n v="38"/>
    <n v="720"/>
    <n v="1800"/>
    <n v="7150"/>
    <n v="0"/>
    <n v="0"/>
    <n v="100"/>
    <n v="0"/>
    <n v="3000"/>
    <n v="4.166666666666667"/>
    <m/>
    <m/>
    <m/>
    <m/>
    <m/>
    <m/>
    <m/>
    <n v="1"/>
    <n v="0"/>
    <n v="0"/>
    <m/>
    <m/>
    <m/>
    <n v="279"/>
    <n v="419"/>
    <s v=""/>
    <s v=""/>
    <s v="corcv, cormuskrat, cormlv, corfav, corgator, corgarp, corraid, corlevlr, corwolv, cormist"/>
    <n v="1"/>
    <s v="CorBuildings/LandFactories/corvp.lua"/>
    <s v=""/>
  </r>
  <r>
    <s v="armrl"/>
    <s v="ARM"/>
    <n v="1"/>
    <x v="157"/>
    <s v="Light Anti-air Tower"/>
    <s v=""/>
    <s v="aa"/>
    <n v="64"/>
    <n v="80"/>
    <n v="900"/>
    <n v="1800"/>
    <n v="0"/>
    <n v="0"/>
    <n v="0"/>
    <n v="0"/>
    <n v="330"/>
    <n v="4.125"/>
    <m/>
    <m/>
    <m/>
    <m/>
    <m/>
    <m/>
    <m/>
    <n v="1"/>
    <n v="68"/>
    <n v="765"/>
    <m/>
    <m/>
    <m/>
    <n v="455"/>
    <n v="700"/>
    <s v=""/>
    <s v="MissileLauncher"/>
    <s v=""/>
    <n v="1"/>
    <s v="ArmBuildings/LandDefenceOffence/armrl.lua"/>
    <s v=""/>
  </r>
  <r>
    <s v="armpb"/>
    <s v="ARM"/>
    <n v="2"/>
    <x v="158"/>
    <s v="Pop-up Gauss Cannon"/>
    <s v=""/>
    <s v="def_t2_impulse"/>
    <n v="48"/>
    <n v="680"/>
    <n v="14000"/>
    <n v="15000"/>
    <n v="0"/>
    <n v="0"/>
    <n v="0"/>
    <n v="0"/>
    <n v="2800"/>
    <n v="4.117647058823529"/>
    <m/>
    <m/>
    <m/>
    <m/>
    <m/>
    <m/>
    <m/>
    <n v="1"/>
    <n v="422"/>
    <n v="730"/>
    <m/>
    <m/>
    <m/>
    <n v="598"/>
    <n v="897"/>
    <s v="cloak"/>
    <s v="Cannon"/>
    <s v=""/>
    <n v="1"/>
    <s v="ArmBuildings/LandDefenceOffence/armpb.lua"/>
    <s v=""/>
  </r>
  <r>
    <s v="corroy"/>
    <s v="CORE"/>
    <n v="1"/>
    <x v="159"/>
    <s v="Destroyer"/>
    <s v=""/>
    <s v="ship_destroyer"/>
    <n v="23"/>
    <n v="960"/>
    <n v="7200"/>
    <n v="10600"/>
    <n v="0"/>
    <n v="0"/>
    <n v="0"/>
    <n v="62"/>
    <n v="3950"/>
    <n v="4.114583333333333"/>
    <m/>
    <m/>
    <m/>
    <m/>
    <n v="1"/>
    <m/>
    <m/>
    <m/>
    <n v="272"/>
    <n v="710"/>
    <m/>
    <n v="400"/>
    <m/>
    <n v="500"/>
    <n v="750"/>
    <s v=""/>
    <s v="Cannon, TorpedoLauncher"/>
    <s v=""/>
    <n v="1"/>
    <s v="CorShips/corroy.lua"/>
    <s v=""/>
  </r>
  <r>
    <s v="corvipe"/>
    <s v="CORE"/>
    <n v="2"/>
    <x v="160"/>
    <s v="Pop-up Sabot Battery"/>
    <s v=""/>
    <s v="def_t2_missile"/>
    <n v="50"/>
    <n v="730"/>
    <n v="14000"/>
    <n v="15000"/>
    <n v="0"/>
    <n v="0"/>
    <n v="0"/>
    <n v="0"/>
    <n v="3000"/>
    <n v="4.1095890410958908"/>
    <m/>
    <m/>
    <m/>
    <m/>
    <m/>
    <m/>
    <m/>
    <n v="1"/>
    <n v="413"/>
    <n v="730"/>
    <m/>
    <m/>
    <m/>
    <n v="546"/>
    <n v="819"/>
    <s v=""/>
    <s v="MissileLauncher"/>
    <s v=""/>
    <n v="1"/>
    <s v="CorBuildings/LandDefenceOffence/corvipe.lua"/>
    <s v=""/>
  </r>
  <r>
    <s v="armstil"/>
    <s v="ARM"/>
    <n v="2"/>
    <x v="161"/>
    <s v="EMP Bomber"/>
    <s v=""/>
    <s v="armstil_1.66"/>
    <n v="23"/>
    <n v="460"/>
    <n v="38000"/>
    <n v="32000"/>
    <n v="0"/>
    <n v="0"/>
    <n v="0"/>
    <n v="300"/>
    <n v="1880"/>
    <n v="4.0869565217391308"/>
    <m/>
    <m/>
    <n v="1"/>
    <m/>
    <m/>
    <m/>
    <m/>
    <m/>
    <n v="0"/>
    <n v="1280"/>
    <m/>
    <m/>
    <m/>
    <n v="390"/>
    <n v="585"/>
    <s v="stealth"/>
    <s v="EMP-AircraftBomb"/>
    <s v=""/>
    <n v="1"/>
    <s v="ArmAircraft/T2/armstil.lua"/>
    <s v=""/>
  </r>
  <r>
    <s v="armvp"/>
    <s v="ARM"/>
    <n v="1"/>
    <x v="156"/>
    <s v="Produces Tech 1 Vehicles"/>
    <s v=""/>
    <s v="factory_vehicle"/>
    <n v="46"/>
    <n v="740"/>
    <n v="1800"/>
    <n v="7200"/>
    <n v="0"/>
    <n v="0"/>
    <n v="100"/>
    <n v="0"/>
    <n v="3000"/>
    <n v="4.0540540540540544"/>
    <m/>
    <m/>
    <m/>
    <m/>
    <m/>
    <m/>
    <m/>
    <n v="1"/>
    <n v="0"/>
    <n v="0"/>
    <m/>
    <m/>
    <m/>
    <n v="273"/>
    <n v="410"/>
    <s v=""/>
    <s v=""/>
    <s v="armcv, armbeaver, armmlv, armfav, armflash, armpincer, armstump, armart, armjanus, armsam"/>
    <n v="1"/>
    <s v="ArmBuildings/LandFactories/armvp.lua"/>
    <s v=""/>
  </r>
  <r>
    <s v="corfast"/>
    <s v="CORE"/>
    <n v="2"/>
    <x v="162"/>
    <s v="Combat Engineer"/>
    <s v=""/>
    <s v="corfast_1.3"/>
    <n v="41"/>
    <n v="210"/>
    <n v="3800"/>
    <n v="6500"/>
    <n v="0"/>
    <n v="15"/>
    <n v="125"/>
    <n v="90"/>
    <n v="830"/>
    <n v="3.9523809523809526"/>
    <m/>
    <m/>
    <m/>
    <m/>
    <m/>
    <m/>
    <m/>
    <m/>
    <n v="0"/>
    <n v="0"/>
    <m/>
    <m/>
    <m/>
    <n v="520"/>
    <n v="780"/>
    <s v=""/>
    <s v=""/>
    <s v="corsolar, cormex, corlab, cornanotc, coreyes, corshroud, corfort, corarad, cormine2, cordl, corhllt, cortoast, cormadsam, corflak, corck, corak, corcrash, cormando, corpyro, coramph, corcs, corroy, cortermite"/>
    <n v="1"/>
    <s v="CorBots/T2/corfast.lua"/>
    <s v=""/>
  </r>
  <r>
    <s v="corvoyr"/>
    <s v="CORE"/>
    <n v="2"/>
    <x v="163"/>
    <s v="Radar Bot"/>
    <s v=""/>
    <s v="bot_t2_radar"/>
    <n v="31"/>
    <n v="99"/>
    <n v="1350"/>
    <n v="3950"/>
    <n v="0"/>
    <n v="0"/>
    <n v="0"/>
    <n v="45"/>
    <n v="390"/>
    <n v="3.9393939393939394"/>
    <m/>
    <m/>
    <m/>
    <m/>
    <m/>
    <m/>
    <m/>
    <m/>
    <n v="0"/>
    <n v="0"/>
    <m/>
    <m/>
    <n v="2200"/>
    <n v="925"/>
    <n v="1388"/>
    <s v="radar"/>
    <s v=""/>
    <s v=""/>
    <n v="1"/>
    <s v="CorBots/T2/corvoyr.lua"/>
    <s v=""/>
  </r>
  <r>
    <s v="armclaw"/>
    <s v="ARM"/>
    <n v="1"/>
    <x v="164"/>
    <s v="Pop-up Lightning Turret"/>
    <s v=""/>
    <s v="wall_0.4"/>
    <n v="18"/>
    <n v="340"/>
    <n v="1600"/>
    <n v="4650"/>
    <n v="0"/>
    <n v="0"/>
    <n v="0"/>
    <n v="0"/>
    <n v="1330"/>
    <n v="3.9117647058823528"/>
    <m/>
    <m/>
    <m/>
    <m/>
    <m/>
    <m/>
    <m/>
    <n v="1"/>
    <n v="159"/>
    <n v="430"/>
    <n v="8"/>
    <m/>
    <m/>
    <n v="440"/>
    <n v="660"/>
    <s v="stealth, jammer"/>
    <s v="LightningCannon"/>
    <s v=""/>
    <n v="1"/>
    <s v="ArmBuildings/LandDefenceOffence/armclaw.lua"/>
    <s v=""/>
  </r>
  <r>
    <s v="armaas"/>
    <s v="ARM"/>
    <n v="2"/>
    <x v="165"/>
    <s v="Anti-Air Ship"/>
    <s v=""/>
    <s v="ship_t2_aa_flak"/>
    <n v="30"/>
    <n v="1000"/>
    <n v="12000"/>
    <n v="15000"/>
    <n v="0"/>
    <n v="0"/>
    <n v="0"/>
    <n v="63"/>
    <n v="3900"/>
    <n v="3.9"/>
    <m/>
    <m/>
    <m/>
    <m/>
    <n v="1"/>
    <m/>
    <m/>
    <m/>
    <n v="430"/>
    <n v="840"/>
    <m/>
    <m/>
    <m/>
    <n v="475"/>
    <n v="900"/>
    <s v=""/>
    <s v="Cannon, MissileLauncher"/>
    <s v=""/>
    <n v="1"/>
    <s v="ArmShips/T2/armaas.lua"/>
    <s v=""/>
  </r>
  <r>
    <s v="corarch"/>
    <s v="CORE"/>
    <n v="2"/>
    <x v="166"/>
    <s v="Anti-Air Ship"/>
    <s v=""/>
    <s v="ship_t2_aa_flak"/>
    <n v="30"/>
    <n v="1000"/>
    <n v="12000"/>
    <n v="15000"/>
    <n v="0"/>
    <n v="0"/>
    <n v="0"/>
    <n v="60"/>
    <n v="3900"/>
    <n v="3.9"/>
    <m/>
    <m/>
    <m/>
    <m/>
    <n v="1"/>
    <m/>
    <m/>
    <m/>
    <n v="429"/>
    <n v="870"/>
    <m/>
    <m/>
    <m/>
    <n v="465"/>
    <n v="900"/>
    <s v=""/>
    <s v="Cannon, MissileLauncher"/>
    <s v=""/>
    <n v="1"/>
    <s v="CorShips/T2/corarch.lua"/>
    <s v=""/>
  </r>
  <r>
    <s v="armatlas"/>
    <s v="ARM"/>
    <n v="1"/>
    <x v="167"/>
    <s v="Light Air Transport"/>
    <s v=""/>
    <s v="air_trans"/>
    <n v="23"/>
    <n v="68"/>
    <n v="1300"/>
    <n v="3850"/>
    <n v="0"/>
    <n v="0"/>
    <n v="0"/>
    <n v="207"/>
    <n v="265"/>
    <n v="3.8970588235294117"/>
    <m/>
    <m/>
    <n v="1"/>
    <m/>
    <m/>
    <m/>
    <m/>
    <m/>
    <n v="0"/>
    <n v="0"/>
    <m/>
    <m/>
    <m/>
    <n v="260"/>
    <n v="390"/>
    <s v="transport"/>
    <s v=""/>
    <s v=""/>
    <n v="1"/>
    <s v="ArmAircraft/armatlas.lua"/>
    <s v=""/>
  </r>
  <r>
    <s v="cormex"/>
    <s v="CORE"/>
    <n v="1"/>
    <x v="168"/>
    <s v="Extracts Metal from Metalspots"/>
    <s v=""/>
    <s v="mex_t1"/>
    <n v="22"/>
    <n v="50"/>
    <n v="500"/>
    <n v="1870"/>
    <n v="0"/>
    <n v="0"/>
    <n v="0"/>
    <n v="0"/>
    <n v="194"/>
    <n v="3.88"/>
    <n v="1"/>
    <m/>
    <m/>
    <m/>
    <m/>
    <m/>
    <m/>
    <n v="1"/>
    <n v="0"/>
    <n v="0"/>
    <m/>
    <m/>
    <m/>
    <n v="273"/>
    <n v="410"/>
    <s v=""/>
    <s v=""/>
    <s v=""/>
    <n v="1"/>
    <s v="CorBuildings/LandEconomy/cormex.lua"/>
    <s v=""/>
  </r>
  <r>
    <s v="armlship"/>
    <s v="ARM"/>
    <n v="2"/>
    <x v="169"/>
    <s v="Fast Raider/Skirmisher"/>
    <s v=""/>
    <s v="ship_t2_lightning"/>
    <n v="24"/>
    <n v="570"/>
    <n v="11400"/>
    <n v="11400"/>
    <n v="0"/>
    <n v="0"/>
    <n v="0"/>
    <n v="99"/>
    <n v="2200"/>
    <n v="3.8596491228070176"/>
    <m/>
    <m/>
    <m/>
    <m/>
    <n v="1"/>
    <m/>
    <m/>
    <m/>
    <n v="319"/>
    <n v="710"/>
    <m/>
    <m/>
    <n v="750"/>
    <n v="500"/>
    <n v="750"/>
    <s v=""/>
    <s v="MissileLauncher, LightningCannon"/>
    <s v=""/>
    <n v="1"/>
    <s v="ArmShips/T2/armlship.lua"/>
    <s v=""/>
  </r>
  <r>
    <s v="corgeo"/>
    <s v="CORE"/>
    <n v="1"/>
    <x v="170"/>
    <s v="Produces 300 Energy"/>
    <s v=""/>
    <s v="energy6_1.3"/>
    <n v="60"/>
    <n v="540"/>
    <n v="13000"/>
    <n v="12900"/>
    <n v="0"/>
    <n v="300"/>
    <n v="0"/>
    <n v="0"/>
    <n v="2050"/>
    <n v="3.7962962962962963"/>
    <m/>
    <m/>
    <m/>
    <m/>
    <m/>
    <m/>
    <m/>
    <n v="1"/>
    <n v="0"/>
    <n v="0"/>
    <m/>
    <m/>
    <m/>
    <n v="273"/>
    <n v="410"/>
    <s v=""/>
    <s v=""/>
    <s v=""/>
    <n v="1"/>
    <s v="CorBuildings/LandEconomy/corgeo.lua"/>
    <s v=""/>
  </r>
  <r>
    <s v="coruwgeo"/>
    <s v="CORE"/>
    <n v="1"/>
    <x v="170"/>
    <s v="Produces 300 Energy"/>
    <s v=""/>
    <s v="energy6_1.3"/>
    <n v="48"/>
    <n v="540"/>
    <n v="13000"/>
    <n v="12900"/>
    <n v="0"/>
    <n v="300"/>
    <n v="0"/>
    <n v="0"/>
    <n v="2050"/>
    <n v="3.7962962962962963"/>
    <m/>
    <n v="1"/>
    <m/>
    <m/>
    <m/>
    <m/>
    <m/>
    <n v="1"/>
    <n v="0"/>
    <n v="0"/>
    <m/>
    <m/>
    <m/>
    <n v="273"/>
    <n v="410"/>
    <s v=""/>
    <s v=""/>
    <s v=""/>
    <n v="1"/>
    <s v="CorBuildings/SeaEconomy/coruwgeo.lua"/>
    <s v=""/>
  </r>
  <r>
    <s v="corjuno"/>
    <s v="CORE"/>
    <n v="1"/>
    <x v="171"/>
    <s v="Anti Radar / Jammer / Minefield / ScoutSpam Weapon"/>
    <s v=""/>
    <s v="juno"/>
    <n v="77"/>
    <n v="660"/>
    <n v="16000"/>
    <n v="27700"/>
    <n v="0"/>
    <n v="0"/>
    <n v="0"/>
    <n v="0"/>
    <n v="2500"/>
    <n v="3.7878787878787881"/>
    <m/>
    <m/>
    <m/>
    <m/>
    <m/>
    <m/>
    <m/>
    <n v="1"/>
    <n v="1"/>
    <n v="32000"/>
    <m/>
    <m/>
    <m/>
    <n v="494"/>
    <n v="741"/>
    <s v="stealth"/>
    <s v="StarburstLauncher"/>
    <s v=""/>
    <n v="1"/>
    <s v="CorBuildings/LandDefenceOffence/corjuno.lua"/>
    <s v=""/>
  </r>
  <r>
    <s v="corvalk"/>
    <s v="CORE"/>
    <n v="1"/>
    <x v="172"/>
    <s v="Light Air Transport"/>
    <s v=""/>
    <s v="air_trans"/>
    <n v="22"/>
    <n v="74"/>
    <n v="1450"/>
    <n v="4120"/>
    <n v="0"/>
    <n v="0"/>
    <n v="0"/>
    <n v="198"/>
    <n v="280"/>
    <n v="3.7837837837837838"/>
    <m/>
    <m/>
    <n v="1"/>
    <m/>
    <m/>
    <m/>
    <m/>
    <m/>
    <n v="0"/>
    <n v="0"/>
    <m/>
    <m/>
    <m/>
    <n v="260"/>
    <n v="390"/>
    <s v="transport"/>
    <s v=""/>
    <s v=""/>
    <n v="1"/>
    <s v="CorAircraft/corvalk.lua"/>
    <s v=""/>
  </r>
  <r>
    <s v="armmex"/>
    <s v="ARM"/>
    <n v="1"/>
    <x v="168"/>
    <s v="Extracts Metal from Metalspots"/>
    <s v=""/>
    <s v="mex_t1"/>
    <n v="41"/>
    <n v="50"/>
    <n v="500"/>
    <n v="1800"/>
    <n v="0"/>
    <n v="0"/>
    <n v="0"/>
    <n v="0"/>
    <n v="189"/>
    <n v="3.78"/>
    <n v="1"/>
    <m/>
    <m/>
    <m/>
    <m/>
    <m/>
    <m/>
    <n v="1"/>
    <n v="0"/>
    <n v="0"/>
    <m/>
    <m/>
    <m/>
    <n v="273"/>
    <n v="410"/>
    <s v=""/>
    <s v=""/>
    <s v=""/>
    <n v="1"/>
    <s v="ArmBuildings/LandEconomy/armmex.lua"/>
    <s v=""/>
  </r>
  <r>
    <s v="corsd"/>
    <s v="CORE"/>
    <n v="2"/>
    <x v="173"/>
    <s v="Intrusion Countermeasure System"/>
    <s v=""/>
    <s v="seismic"/>
    <n v="16"/>
    <n v="750"/>
    <n v="6700"/>
    <n v="12000"/>
    <n v="0"/>
    <n v="0"/>
    <n v="0"/>
    <n v="0"/>
    <n v="2800"/>
    <n v="3.7333333333333334"/>
    <m/>
    <m/>
    <m/>
    <m/>
    <m/>
    <m/>
    <m/>
    <n v="1"/>
    <n v="0"/>
    <n v="2000"/>
    <m/>
    <m/>
    <m/>
    <n v="225"/>
    <n v="338"/>
    <s v="stealth-detector"/>
    <s v=""/>
    <s v=""/>
    <n v="1"/>
    <s v="CorBuildings/LandUtil/corsd.lua"/>
    <s v=""/>
  </r>
  <r>
    <s v="armsd"/>
    <s v="ARM"/>
    <n v="2"/>
    <x v="174"/>
    <s v="Intrusion Countermeasure System - tracks down stealthy units"/>
    <s v=""/>
    <s v="seismic"/>
    <n v="50"/>
    <n v="710"/>
    <n v="7100"/>
    <n v="11900"/>
    <n v="0"/>
    <n v="0"/>
    <n v="0"/>
    <n v="0"/>
    <n v="2650"/>
    <n v="3.732394366197183"/>
    <m/>
    <m/>
    <m/>
    <m/>
    <m/>
    <m/>
    <m/>
    <n v="1"/>
    <n v="0"/>
    <n v="2000"/>
    <m/>
    <m/>
    <m/>
    <n v="240"/>
    <n v="360"/>
    <s v="stealth-detector"/>
    <s v=""/>
    <s v=""/>
    <n v="1"/>
    <s v="ArmBuildings/LandUtil/armsd.lua"/>
    <s v=""/>
  </r>
  <r>
    <s v="armacv"/>
    <s v="ARM"/>
    <n v="2"/>
    <x v="175"/>
    <s v="Tech 2 Constructor"/>
    <s v=""/>
    <s v="vehicle_t2_worker"/>
    <n v="32"/>
    <n v="550"/>
    <n v="6800"/>
    <n v="12400"/>
    <n v="0"/>
    <n v="20"/>
    <n v="250"/>
    <n v="53"/>
    <n v="2050"/>
    <n v="3.7272727272727271"/>
    <m/>
    <m/>
    <m/>
    <m/>
    <m/>
    <m/>
    <m/>
    <m/>
    <n v="0"/>
    <n v="0"/>
    <m/>
    <m/>
    <n v="50"/>
    <n v="290"/>
    <n v="435"/>
    <s v=""/>
    <s v=""/>
    <s v="armfus, armckfus, armafus, armageo, armgmm, armmoho, armmmkr, armuwadves, armuwadvms, armarad, armveil, armfort, armasp, armtarg, armsd, armgate, armamb, armpb, armanni, armflak, armmercury, armemp, armamd, armsilo, armbrtha, armvulc, armdf, armvp, armavp, armshltx"/>
    <n v="1"/>
    <s v="ArmVehicles/T2/armacv.lua"/>
    <s v=""/>
  </r>
  <r>
    <s v="armfhp"/>
    <s v="ARM"/>
    <n v="1"/>
    <x v="154"/>
    <s v="Builds Hovercraft"/>
    <s v=""/>
    <s v="factory_hover"/>
    <n v="28"/>
    <n v="900"/>
    <n v="3000"/>
    <n v="11000"/>
    <n v="0"/>
    <n v="0"/>
    <n v="100"/>
    <n v="0"/>
    <n v="3350"/>
    <n v="3.7222222222222223"/>
    <m/>
    <m/>
    <m/>
    <m/>
    <m/>
    <m/>
    <m/>
    <n v="1"/>
    <n v="0"/>
    <n v="0"/>
    <m/>
    <m/>
    <m/>
    <n v="286"/>
    <n v="429"/>
    <s v=""/>
    <s v=""/>
    <s v="armch, armsh, armanac, armah, armmh"/>
    <n v="1"/>
    <s v="ArmBuildings/SeaFactories/armfhp.lua"/>
    <s v=""/>
  </r>
  <r>
    <s v="armhp"/>
    <s v="ARM"/>
    <n v="1"/>
    <x v="155"/>
    <s v="Builds Hovercraft"/>
    <s v=""/>
    <s v="factory_hover"/>
    <n v="32"/>
    <n v="900"/>
    <n v="3000"/>
    <n v="11000"/>
    <n v="0"/>
    <n v="0"/>
    <n v="100"/>
    <n v="0"/>
    <n v="3350"/>
    <n v="3.7222222222222223"/>
    <m/>
    <m/>
    <m/>
    <m/>
    <m/>
    <m/>
    <m/>
    <n v="1"/>
    <n v="0"/>
    <n v="0"/>
    <m/>
    <m/>
    <m/>
    <n v="286"/>
    <n v="429"/>
    <s v=""/>
    <s v=""/>
    <s v="armch, armsh, armanac, armah, armmh"/>
    <n v="1"/>
    <s v="ArmBuildings/LandFactories/armhp.lua"/>
    <s v=""/>
  </r>
  <r>
    <s v="coracv"/>
    <s v="CORE"/>
    <n v="2"/>
    <x v="175"/>
    <s v="Tech 2 Constructor"/>
    <s v=""/>
    <s v="vehicle_t2_worker"/>
    <n v="37"/>
    <n v="580"/>
    <n v="7000"/>
    <n v="12900"/>
    <n v="0"/>
    <n v="20"/>
    <n v="250"/>
    <n v="50"/>
    <n v="2150"/>
    <n v="3.7068965517241379"/>
    <m/>
    <m/>
    <m/>
    <m/>
    <m/>
    <m/>
    <m/>
    <m/>
    <n v="0"/>
    <n v="0"/>
    <m/>
    <m/>
    <n v="50"/>
    <n v="295"/>
    <n v="443"/>
    <s v=""/>
    <s v=""/>
    <s v="corfus, corafus, corageo, corbhmth, cormoho, cormexp, cormmkr, coruwadves, coruwadvms, corarad, corshroud, corfort, corasp, cortarg, corsd, corgate, cortoast, corvipe, cordoom, corflak, corscreamer, cortron, corfmd, corsilo, corint, corbuzz, corvp, coravp, corgant"/>
    <n v="1"/>
    <s v="CorVehicles/T2/coracv.lua"/>
    <s v=""/>
  </r>
  <r>
    <s v="armferret"/>
    <s v="ARM"/>
    <n v="1"/>
    <x v="176"/>
    <s v="Pop-Up Anti-Air Missile Battery"/>
    <s v=""/>
    <s v="aa_t15"/>
    <n v="21"/>
    <n v="360"/>
    <n v="5700"/>
    <n v="5800"/>
    <n v="0"/>
    <n v="0"/>
    <n v="0"/>
    <n v="0"/>
    <n v="1330"/>
    <n v="3.6944444444444446"/>
    <m/>
    <m/>
    <m/>
    <m/>
    <m/>
    <m/>
    <m/>
    <n v="1"/>
    <n v="176"/>
    <n v="840"/>
    <m/>
    <m/>
    <m/>
    <n v="375"/>
    <n v="850"/>
    <s v="cloak"/>
    <s v="MissileLauncher"/>
    <s v=""/>
    <n v="1"/>
    <s v="ArmBuildings/LandDefenceOffence/armferret.lua"/>
    <s v=""/>
  </r>
  <r>
    <s v="armjuno"/>
    <s v="ARM"/>
    <n v="1"/>
    <x v="171"/>
    <s v="Anti Radar / Jammer / Minefield / ScoutSpam Weapon"/>
    <s v=""/>
    <s v="juno"/>
    <n v="77"/>
    <n v="640"/>
    <n v="17000"/>
    <n v="21800"/>
    <n v="0"/>
    <n v="0"/>
    <n v="0"/>
    <n v="0"/>
    <n v="2350"/>
    <n v="3.671875"/>
    <m/>
    <m/>
    <m/>
    <m/>
    <m/>
    <m/>
    <m/>
    <n v="1"/>
    <n v="1"/>
    <n v="32000"/>
    <m/>
    <m/>
    <m/>
    <n v="494"/>
    <n v="741"/>
    <s v="stealth"/>
    <s v="StarburstLauncher"/>
    <s v=""/>
    <n v="1"/>
    <s v="ArmBuildings/LandDefenceOffence/armjuno.lua"/>
    <s v=""/>
  </r>
  <r>
    <s v="armdfly"/>
    <s v="ARM"/>
    <n v="2"/>
    <x v="177"/>
    <s v="Stealthy Armed Heavy Transport"/>
    <s v=""/>
    <s v="air_trans"/>
    <n v="26"/>
    <n v="320"/>
    <n v="6600"/>
    <n v="16000"/>
    <n v="0"/>
    <n v="0"/>
    <n v="0"/>
    <n v="242"/>
    <n v="1170"/>
    <n v="3.65625"/>
    <m/>
    <m/>
    <n v="1"/>
    <m/>
    <m/>
    <m/>
    <m/>
    <m/>
    <n v="0"/>
    <n v="520"/>
    <m/>
    <m/>
    <m/>
    <n v="318"/>
    <n v="477"/>
    <s v="stealth, transport"/>
    <s v="EMP-BeamLaser"/>
    <s v=""/>
    <n v="1"/>
    <s v="ArmAircraft/T2/armdfly.lua"/>
    <s v=""/>
  </r>
  <r>
    <s v="armfast"/>
    <s v="ARM"/>
    <n v="2"/>
    <x v="178"/>
    <s v="Fast Raider Bot"/>
    <s v=""/>
    <s v="bot_t2_raid"/>
    <n v="37"/>
    <n v="190"/>
    <n v="4600"/>
    <n v="3960"/>
    <n v="0"/>
    <n v="0"/>
    <n v="0"/>
    <n v="111"/>
    <n v="690"/>
    <n v="3.6315789473684212"/>
    <m/>
    <m/>
    <m/>
    <m/>
    <m/>
    <m/>
    <m/>
    <m/>
    <n v="120"/>
    <n v="220"/>
    <m/>
    <m/>
    <m/>
    <n v="351"/>
    <n v="527"/>
    <s v=""/>
    <s v="Cannon"/>
    <s v=""/>
    <n v="1"/>
    <s v="ArmBots/T2/armfast.lua"/>
    <s v=""/>
  </r>
  <r>
    <s v="armkam"/>
    <s v="ARM"/>
    <n v="1"/>
    <x v="179"/>
    <s v="Light Gunship"/>
    <s v=""/>
    <s v="air_hover"/>
    <n v="15"/>
    <n v="135"/>
    <n v="2300"/>
    <n v="5050"/>
    <n v="0"/>
    <n v="0"/>
    <n v="0"/>
    <n v="185"/>
    <n v="485"/>
    <n v="3.5925925925925926"/>
    <m/>
    <m/>
    <n v="1"/>
    <m/>
    <m/>
    <m/>
    <m/>
    <m/>
    <n v="38"/>
    <n v="350"/>
    <m/>
    <m/>
    <m/>
    <n v="520"/>
    <n v="780"/>
    <s v=""/>
    <s v="LaserCannon"/>
    <s v=""/>
    <n v="1"/>
    <s v="ArmAircraft/armkam.lua"/>
    <s v=""/>
  </r>
  <r>
    <s v="armflea"/>
    <s v="ARM"/>
    <n v="1"/>
    <x v="180"/>
    <s v="Fast Scout Bot"/>
    <s v=""/>
    <s v="bot_t1_flea"/>
    <n v="10"/>
    <n v="17"/>
    <n v="340"/>
    <n v="800"/>
    <n v="0"/>
    <n v="0"/>
    <n v="0"/>
    <n v="132"/>
    <n v="61"/>
    <n v="3.5882352941176472"/>
    <m/>
    <m/>
    <m/>
    <m/>
    <m/>
    <m/>
    <m/>
    <m/>
    <n v="40"/>
    <n v="140"/>
    <m/>
    <m/>
    <m/>
    <n v="600"/>
    <n v="900"/>
    <s v=""/>
    <s v="BeamLaser"/>
    <s v=""/>
    <n v="1"/>
    <s v="ArmBots/armflea.lua"/>
    <s v=""/>
  </r>
  <r>
    <s v="armantiship"/>
    <s v="ARM"/>
    <n v="2"/>
    <x v="181"/>
    <s v="Mobile Anti-Nuke, Generator, and Radar/Sonar"/>
    <s v=""/>
    <s v="ship_t2_carrier"/>
    <n v="33"/>
    <n v="1400"/>
    <n v="12000"/>
    <n v="20000"/>
    <n v="0"/>
    <n v="300"/>
    <n v="1000"/>
    <n v="63"/>
    <n v="5000"/>
    <n v="3.5714285714285716"/>
    <m/>
    <m/>
    <m/>
    <m/>
    <n v="1"/>
    <m/>
    <m/>
    <m/>
    <n v="750"/>
    <n v="72000"/>
    <m/>
    <n v="760"/>
    <n v="2950"/>
    <n v="1000"/>
    <n v="1500"/>
    <s v="radar"/>
    <s v="StarburstLauncher"/>
    <s v=""/>
    <n v="1"/>
    <s v="ArmShips/T2/armantiship.lua"/>
    <s v=""/>
  </r>
  <r>
    <s v="corantiship"/>
    <s v="CORE"/>
    <n v="2"/>
    <x v="182"/>
    <s v="Mobile Anti-Nuke, Generator, and Radar/Sonar"/>
    <s v=""/>
    <s v="ship_t2_carrier"/>
    <n v="29"/>
    <n v="1400"/>
    <n v="12000"/>
    <n v="20000"/>
    <n v="0"/>
    <n v="300"/>
    <n v="1000"/>
    <n v="63"/>
    <n v="5000"/>
    <n v="3.5714285714285716"/>
    <m/>
    <m/>
    <m/>
    <m/>
    <n v="1"/>
    <m/>
    <m/>
    <m/>
    <n v="750"/>
    <n v="72000"/>
    <m/>
    <n v="760"/>
    <n v="2950"/>
    <n v="1000"/>
    <n v="1500"/>
    <s v="radar"/>
    <s v="StarburstLauncher"/>
    <s v=""/>
    <n v="1"/>
    <s v="CorShips/T2/corantiship.lua"/>
    <s v=""/>
  </r>
  <r>
    <s v="armmark"/>
    <s v="ARM"/>
    <n v="2"/>
    <x v="183"/>
    <s v="Radar Bot"/>
    <s v=""/>
    <s v="bot_t2_radar"/>
    <n v="27"/>
    <n v="100"/>
    <n v="1250"/>
    <n v="3800"/>
    <n v="0"/>
    <n v="0"/>
    <n v="0"/>
    <n v="41"/>
    <n v="355"/>
    <n v="3.55"/>
    <m/>
    <m/>
    <m/>
    <m/>
    <m/>
    <m/>
    <m/>
    <m/>
    <n v="0"/>
    <n v="0"/>
    <m/>
    <m/>
    <n v="2200"/>
    <n v="900"/>
    <n v="1350"/>
    <s v="radar"/>
    <s v=""/>
    <s v=""/>
    <n v="1"/>
    <s v="ArmBots/T2/armmark.lua"/>
    <s v=""/>
  </r>
  <r>
    <s v="armraz"/>
    <s v="ARM"/>
    <n v="3"/>
    <x v="184"/>
    <s v="Battle Mech"/>
    <s v=""/>
    <s v="armraz_1.75"/>
    <n v="73"/>
    <n v="3800"/>
    <n v="68000"/>
    <n v="88600"/>
    <n v="0"/>
    <n v="0"/>
    <n v="0"/>
    <n v="69"/>
    <n v="13300"/>
    <n v="3.5"/>
    <m/>
    <m/>
    <m/>
    <m/>
    <m/>
    <m/>
    <m/>
    <m/>
    <n v="1099"/>
    <n v="475"/>
    <m/>
    <m/>
    <m/>
    <n v="450"/>
    <n v="675"/>
    <s v=""/>
    <s v="BeamLaser"/>
    <s v=""/>
    <n v="1"/>
    <s v="ArmGantry/armraz.lua"/>
    <s v=""/>
  </r>
  <r>
    <s v="armsptk"/>
    <s v="ARM"/>
    <n v="2"/>
    <x v="185"/>
    <s v="All-Terrain Rocket Spider"/>
    <s v=""/>
    <s v="armsptk_1.44"/>
    <n v="22"/>
    <n v="400"/>
    <n v="4500"/>
    <n v="8800"/>
    <n v="0"/>
    <n v="0"/>
    <n v="0"/>
    <n v="52"/>
    <n v="1390"/>
    <n v="3.4750000000000001"/>
    <m/>
    <m/>
    <m/>
    <m/>
    <m/>
    <m/>
    <m/>
    <m/>
    <n v="161"/>
    <n v="600"/>
    <m/>
    <m/>
    <m/>
    <n v="440"/>
    <n v="660"/>
    <s v=""/>
    <s v="MissileLauncher"/>
    <s v=""/>
    <n v="1"/>
    <s v="ArmBots/T2/armsptk.lua"/>
    <s v=""/>
  </r>
  <r>
    <s v="armgeo"/>
    <s v="ARM"/>
    <n v="1"/>
    <x v="170"/>
    <s v="Produces 300 Energy"/>
    <s v=""/>
    <s v="energy6_1.3"/>
    <n v="51"/>
    <n v="560"/>
    <n v="13000"/>
    <n v="13100"/>
    <n v="0"/>
    <n v="300"/>
    <n v="0"/>
    <n v="0"/>
    <n v="1940"/>
    <n v="3.4642857142857144"/>
    <m/>
    <m/>
    <m/>
    <m/>
    <m/>
    <m/>
    <m/>
    <n v="1"/>
    <n v="0"/>
    <n v="0"/>
    <m/>
    <m/>
    <m/>
    <n v="273"/>
    <n v="410"/>
    <s v=""/>
    <s v=""/>
    <s v=""/>
    <n v="1"/>
    <s v="ArmBuildings/LandEconomy/armgeo.lua"/>
    <s v=""/>
  </r>
  <r>
    <s v="armuwgeo"/>
    <s v="ARM"/>
    <n v="1"/>
    <x v="170"/>
    <s v="Produces 300 Energy"/>
    <s v=""/>
    <s v="energy6_1.3"/>
    <n v="50"/>
    <n v="560"/>
    <n v="13000"/>
    <n v="13100"/>
    <n v="0"/>
    <n v="300"/>
    <n v="0"/>
    <n v="0"/>
    <n v="1940"/>
    <n v="3.4642857142857144"/>
    <m/>
    <m/>
    <m/>
    <m/>
    <m/>
    <m/>
    <m/>
    <n v="1"/>
    <n v="0"/>
    <n v="0"/>
    <m/>
    <m/>
    <m/>
    <n v="273"/>
    <n v="410"/>
    <s v=""/>
    <s v=""/>
    <s v=""/>
    <n v="1"/>
    <s v="ArmBuildings/SeaEconomy/armuwgeo.lua"/>
    <s v=""/>
  </r>
  <r>
    <s v="armsh"/>
    <s v="ARM"/>
    <n v="1"/>
    <x v="186"/>
    <s v="Fast Attack Hovercraft"/>
    <s v=""/>
    <s v="hover_raid"/>
    <n v="18"/>
    <n v="85"/>
    <n v="1250"/>
    <n v="1700"/>
    <n v="0"/>
    <n v="0"/>
    <n v="0"/>
    <n v="114"/>
    <n v="290"/>
    <n v="3.4117647058823528"/>
    <m/>
    <m/>
    <m/>
    <n v="1"/>
    <m/>
    <m/>
    <m/>
    <m/>
    <n v="60"/>
    <n v="230"/>
    <m/>
    <m/>
    <m/>
    <n v="550"/>
    <n v="825"/>
    <s v=""/>
    <s v="BeamLaser"/>
    <s v=""/>
    <n v="1"/>
    <s v="ArmHovercraft/armsh.lua"/>
    <s v=""/>
  </r>
  <r>
    <s v="corsh"/>
    <s v="CORE"/>
    <n v="1"/>
    <x v="187"/>
    <s v="Fast Attack Hovercraft"/>
    <s v=""/>
    <s v="hover_raid"/>
    <n v="12"/>
    <n v="75"/>
    <n v="1500"/>
    <n v="1500"/>
    <n v="0"/>
    <n v="0"/>
    <n v="0"/>
    <n v="110"/>
    <n v="255"/>
    <n v="3.4"/>
    <m/>
    <m/>
    <m/>
    <n v="1"/>
    <m/>
    <m/>
    <m/>
    <m/>
    <n v="60"/>
    <n v="230"/>
    <m/>
    <m/>
    <m/>
    <n v="550"/>
    <n v="825"/>
    <s v=""/>
    <s v="BeamLaser"/>
    <s v=""/>
    <n v="1"/>
    <s v="CorHovercraft/corsh.lua"/>
    <s v=""/>
  </r>
  <r>
    <s v="armmart"/>
    <s v="ARM"/>
    <n v="2"/>
    <x v="188"/>
    <s v="Mobile Artillery"/>
    <s v=""/>
    <s v="vehicle_arty_t2"/>
    <n v="30"/>
    <n v="320"/>
    <n v="4900"/>
    <n v="6500"/>
    <n v="0"/>
    <n v="0"/>
    <n v="0"/>
    <n v="60"/>
    <n v="1070"/>
    <n v="3.34375"/>
    <m/>
    <m/>
    <m/>
    <m/>
    <m/>
    <m/>
    <m/>
    <m/>
    <n v="86"/>
    <n v="820"/>
    <m/>
    <m/>
    <m/>
    <n v="286"/>
    <n v="429"/>
    <s v=""/>
    <s v="Cannon"/>
    <s v=""/>
    <n v="1"/>
    <s v="ArmVehicles/T2/armmart.lua"/>
    <s v=""/>
  </r>
  <r>
    <s v="armhvytrans"/>
    <s v="ARM"/>
    <n v="1"/>
    <x v="189"/>
    <s v="Heavy Transport"/>
    <s v=""/>
    <s v="air_trans"/>
    <n v="26"/>
    <n v="190"/>
    <n v="4000"/>
    <n v="8500"/>
    <n v="0"/>
    <n v="0"/>
    <n v="0"/>
    <n v="110"/>
    <n v="630"/>
    <n v="3.3157894736842106"/>
    <m/>
    <m/>
    <n v="1"/>
    <m/>
    <m/>
    <m/>
    <m/>
    <m/>
    <n v="0"/>
    <n v="0"/>
    <m/>
    <m/>
    <m/>
    <n v="260"/>
    <n v="390"/>
    <s v="transport"/>
    <s v=""/>
    <s v=""/>
    <n v="1"/>
    <s v="ArmAircraft/armhvytrans.lua"/>
    <s v=""/>
  </r>
  <r>
    <s v="armjamt"/>
    <s v="ARM"/>
    <n v="1"/>
    <x v="190"/>
    <s v="Cloakable Jammer Tower"/>
    <s v=""/>
    <s v="jammer"/>
    <n v="77"/>
    <n v="240"/>
    <n v="8500"/>
    <n v="9950"/>
    <n v="0"/>
    <n v="0"/>
    <n v="0"/>
    <n v="0"/>
    <n v="790"/>
    <n v="3.2916666666666665"/>
    <m/>
    <m/>
    <m/>
    <m/>
    <m/>
    <m/>
    <m/>
    <n v="1"/>
    <n v="0"/>
    <n v="0"/>
    <n v="500"/>
    <m/>
    <m/>
    <n v="195"/>
    <n v="293"/>
    <s v="cloak, jammer"/>
    <s v=""/>
    <s v=""/>
    <n v="1"/>
    <s v="ArmBuildings/LandUtil/armjamt.lua"/>
    <s v=""/>
  </r>
  <r>
    <s v="corcrwh"/>
    <s v="CORE"/>
    <n v="2"/>
    <x v="191"/>
    <s v="Flying Fortress"/>
    <s v=""/>
    <s v="air_krow"/>
    <n v="21"/>
    <n v="5100"/>
    <n v="72000"/>
    <n v="84200"/>
    <n v="0"/>
    <n v="0"/>
    <n v="0"/>
    <n v="115"/>
    <n v="16700"/>
    <n v="3.2745098039215685"/>
    <m/>
    <m/>
    <n v="1"/>
    <m/>
    <m/>
    <m/>
    <m/>
    <m/>
    <n v="725"/>
    <n v="840"/>
    <m/>
    <m/>
    <m/>
    <n v="494"/>
    <n v="850"/>
    <s v=""/>
    <s v="Flame, 4x BeamLaser, MissileLauncher"/>
    <s v=""/>
    <n v="1"/>
    <s v="CorAircraft/T2/corcrwh.lua"/>
    <s v=""/>
  </r>
  <r>
    <s v="corbats"/>
    <s v="CORE"/>
    <n v="2"/>
    <x v="192"/>
    <s v="Battleship"/>
    <s v=""/>
    <s v="ship_t2_battleship"/>
    <n v="53"/>
    <n v="3400"/>
    <n v="23000"/>
    <n v="36000"/>
    <n v="0"/>
    <n v="0"/>
    <n v="0"/>
    <n v="53"/>
    <n v="11100"/>
    <n v="3.2647058823529411"/>
    <m/>
    <m/>
    <m/>
    <m/>
    <n v="1"/>
    <m/>
    <m/>
    <m/>
    <n v="659"/>
    <n v="950"/>
    <m/>
    <m/>
    <m/>
    <n v="600"/>
    <n v="900"/>
    <s v=""/>
    <s v="3x Cannon, BeamLaser"/>
    <s v=""/>
    <n v="1"/>
    <s v="CorShips/T2/corbats.lua"/>
    <s v=""/>
  </r>
  <r>
    <s v="cormexp"/>
    <s v="CORE"/>
    <n v="2"/>
    <x v="193"/>
    <s v="Armed Advanced Metal Extractor"/>
    <s v=""/>
    <s v="mex_t2"/>
    <n v="33"/>
    <n v="2400"/>
    <n v="12000"/>
    <n v="32500"/>
    <n v="0"/>
    <n v="0"/>
    <n v="0"/>
    <n v="0"/>
    <n v="7800"/>
    <n v="3.25"/>
    <m/>
    <m/>
    <m/>
    <m/>
    <m/>
    <m/>
    <m/>
    <n v="1"/>
    <n v="623"/>
    <n v="650"/>
    <m/>
    <m/>
    <m/>
    <n v="676"/>
    <n v="1014"/>
    <s v=""/>
    <s v="BeamLaser, MissileLauncher"/>
    <s v=""/>
    <n v="1"/>
    <s v="CorBuildings/LandDefenceOffence/cormexp.lua"/>
    <s v=""/>
  </r>
  <r>
    <s v="coradvsol"/>
    <s v="CORE"/>
    <n v="1"/>
    <x v="194"/>
    <s v="Produces 75 Energy"/>
    <s v=""/>
    <s v="energy2_1.18"/>
    <n v="12"/>
    <n v="370"/>
    <n v="4000"/>
    <n v="8150"/>
    <n v="0"/>
    <n v="75"/>
    <n v="0"/>
    <n v="0"/>
    <n v="1200"/>
    <n v="3.2432432432432434"/>
    <m/>
    <m/>
    <m/>
    <m/>
    <m/>
    <m/>
    <m/>
    <n v="1"/>
    <n v="0"/>
    <n v="0"/>
    <m/>
    <m/>
    <m/>
    <n v="260"/>
    <n v="390"/>
    <s v=""/>
    <s v=""/>
    <s v=""/>
    <n v="1"/>
    <s v="CorBuildings/LandEconomy/coradvsol.lua"/>
    <s v=""/>
  </r>
  <r>
    <s v="armlatnk"/>
    <s v="ARM"/>
    <n v="2"/>
    <x v="195"/>
    <s v="Lightning Tank"/>
    <s v=""/>
    <s v="armlatnk_1.3"/>
    <n v="23"/>
    <n v="330"/>
    <n v="6400"/>
    <n v="6030"/>
    <n v="0"/>
    <n v="0"/>
    <n v="0"/>
    <n v="90"/>
    <n v="1060"/>
    <n v="3.2121212121212119"/>
    <m/>
    <m/>
    <m/>
    <m/>
    <m/>
    <m/>
    <m/>
    <m/>
    <n v="205"/>
    <n v="600"/>
    <m/>
    <m/>
    <m/>
    <n v="390"/>
    <n v="585"/>
    <s v=""/>
    <s v="MissileLauncher, LightningCannon"/>
    <s v=""/>
    <n v="1"/>
    <s v="ArmVehicles/T2/armlatnk.lua"/>
    <s v=""/>
  </r>
  <r>
    <s v="cordoom"/>
    <s v="CORE"/>
    <n v="2"/>
    <x v="196"/>
    <s v="Energy Weapon"/>
    <s v=""/>
    <s v="cordoom"/>
    <n v="119"/>
    <n v="3000"/>
    <n v="37000"/>
    <n v="55200"/>
    <n v="0"/>
    <n v="0"/>
    <n v="0"/>
    <n v="0"/>
    <n v="9400"/>
    <n v="3.1333333333333333"/>
    <m/>
    <m/>
    <m/>
    <m/>
    <m/>
    <m/>
    <m/>
    <n v="1"/>
    <n v="1513"/>
    <n v="950"/>
    <m/>
    <m/>
    <n v="1200"/>
    <n v="780"/>
    <n v="1170"/>
    <s v="radar"/>
    <s v="3x BeamLaser"/>
    <s v=""/>
    <n v="1"/>
    <s v="CorBuildings/LandDefenceOffence/cordoom.lua"/>
    <s v=""/>
  </r>
  <r>
    <s v="corcsa"/>
    <s v="CORE"/>
    <n v="1"/>
    <x v="197"/>
    <s v="Tech 1 Constructor"/>
    <s v=""/>
    <s v="air_worker_sea"/>
    <n v="16"/>
    <n v="140"/>
    <n v="8200"/>
    <n v="12000"/>
    <n v="0"/>
    <n v="20"/>
    <n v="75"/>
    <n v="218"/>
    <n v="435"/>
    <n v="3.1071428571428572"/>
    <n v="1"/>
    <m/>
    <n v="1"/>
    <m/>
    <m/>
    <m/>
    <m/>
    <m/>
    <n v="0"/>
    <n v="0"/>
    <m/>
    <m/>
    <m/>
    <n v="351"/>
    <n v="527"/>
    <s v=""/>
    <s v=""/>
    <s v="corsolar, coradvsol, corwin, corgeo, cormstor, corestor, cormex, corexp, cormakr, corlab, corvp, corap, corhp, cornanotc, cornanotcplat, coreyes, corrad, cordrag, cormaw, corllt, corhllt, corhlt, corpun, corrl, cormadsam, corerad, cordl, corjamt, corjuno, corfhp, corsy, coramsub, corplat, cortide, corfmkr, coruwms, coruwes, corfdrag, corfrad, corfhlt, corfrt, cortl, coruwgeo, corasp, corfasp"/>
    <n v="1"/>
    <s v="CorSeaplanes/corcsa.lua"/>
    <s v=""/>
  </r>
  <r>
    <s v="armadvsol"/>
    <s v="ARM"/>
    <n v="1"/>
    <x v="194"/>
    <s v="Produces 75 Energy"/>
    <s v=""/>
    <s v="energy2_1.18"/>
    <n v="32"/>
    <n v="370"/>
    <n v="5000"/>
    <n v="7950"/>
    <n v="0"/>
    <n v="75"/>
    <n v="0"/>
    <n v="0"/>
    <n v="1130"/>
    <n v="3.0540540540540539"/>
    <m/>
    <m/>
    <m/>
    <m/>
    <m/>
    <m/>
    <m/>
    <n v="1"/>
    <n v="0"/>
    <n v="0"/>
    <m/>
    <m/>
    <m/>
    <n v="260"/>
    <n v="390"/>
    <s v=""/>
    <s v=""/>
    <s v=""/>
    <n v="1"/>
    <s v="ArmBuildings/LandEconomy/armadvsol.lua"/>
    <s v=""/>
  </r>
  <r>
    <s v="armmh"/>
    <s v="ARM"/>
    <n v="1"/>
    <x v="198"/>
    <s v="Hovercraft Rocket Launcher"/>
    <s v=""/>
    <s v="hover_t1_missile"/>
    <n v="25"/>
    <n v="175"/>
    <n v="3000"/>
    <n v="3300"/>
    <n v="0"/>
    <n v="0"/>
    <n v="0"/>
    <n v="64"/>
    <n v="530"/>
    <n v="3.0285714285714285"/>
    <m/>
    <m/>
    <m/>
    <n v="1"/>
    <m/>
    <m/>
    <m/>
    <m/>
    <n v="50"/>
    <n v="710"/>
    <m/>
    <m/>
    <m/>
    <n v="509"/>
    <n v="764"/>
    <s v=""/>
    <s v="StarburstLauncher"/>
    <s v=""/>
    <n v="1"/>
    <s v="ArmHovercraft/armmh.lua"/>
    <s v=""/>
  </r>
  <r>
    <s v="cordemon"/>
    <s v="CORE"/>
    <n v="3"/>
    <x v="199"/>
    <s v="Flamethrower Mech"/>
    <s v=""/>
    <s v="cordemon"/>
    <n v="121"/>
    <n v="6000"/>
    <n v="90000"/>
    <n v="120000"/>
    <n v="0"/>
    <n v="0"/>
    <n v="0"/>
    <n v="63"/>
    <n v="18000"/>
    <n v="3"/>
    <m/>
    <m/>
    <m/>
    <m/>
    <m/>
    <m/>
    <m/>
    <m/>
    <n v="1690"/>
    <n v="700"/>
    <m/>
    <m/>
    <m/>
    <n v="500"/>
    <n v="750"/>
    <s v=""/>
    <s v="MissileLauncher, Flame"/>
    <s v=""/>
    <n v="1"/>
    <s v="CorGantry/cordemon.lua"/>
    <s v=""/>
  </r>
  <r>
    <s v="cormart"/>
    <s v="CORE"/>
    <n v="2"/>
    <x v="200"/>
    <s v="Mobile Artillery"/>
    <s v=""/>
    <s v="vehicle_arty_t2"/>
    <n v="28"/>
    <n v="400"/>
    <n v="4400"/>
    <n v="6500"/>
    <n v="0"/>
    <n v="0"/>
    <n v="0"/>
    <n v="58"/>
    <n v="1200"/>
    <n v="3"/>
    <m/>
    <m/>
    <m/>
    <m/>
    <m/>
    <m/>
    <m/>
    <m/>
    <n v="84"/>
    <n v="800"/>
    <m/>
    <m/>
    <m/>
    <n v="299"/>
    <n v="449"/>
    <s v=""/>
    <s v="Cannon"/>
    <s v=""/>
    <n v="1"/>
    <s v="CorVehicles/T2/cormart.lua"/>
    <s v=""/>
  </r>
  <r>
    <s v="cortron"/>
    <s v="CORE"/>
    <n v="2"/>
    <x v="201"/>
    <s v="Tactical Missile Launcher"/>
    <s v=""/>
    <s v="tacnuke"/>
    <n v="41"/>
    <n v="1200"/>
    <n v="14000"/>
    <n v="59000"/>
    <n v="0"/>
    <n v="0"/>
    <n v="0"/>
    <n v="0"/>
    <n v="3550"/>
    <n v="2.9583333333333335"/>
    <m/>
    <m/>
    <m/>
    <m/>
    <m/>
    <m/>
    <m/>
    <n v="1"/>
    <n v="2000"/>
    <n v="2250"/>
    <m/>
    <m/>
    <m/>
    <n v="455"/>
    <n v="683"/>
    <s v=""/>
    <s v="StarburstLauncher"/>
    <s v=""/>
    <n v="1"/>
    <s v="CorBuildings/LandDefenceOffence/cortron.lua"/>
    <s v=""/>
  </r>
  <r>
    <s v="corblackhy"/>
    <s v="CORE"/>
    <n v="2"/>
    <x v="202"/>
    <s v="Flagship"/>
    <s v=""/>
    <s v="ship_t2_flagship"/>
    <n v="65"/>
    <n v="18000"/>
    <n v="158000"/>
    <n v="175300"/>
    <n v="0"/>
    <n v="0"/>
    <n v="0"/>
    <n v="50"/>
    <n v="53000"/>
    <n v="2.9444444444444446"/>
    <m/>
    <m/>
    <m/>
    <m/>
    <n v="1"/>
    <m/>
    <m/>
    <m/>
    <n v="1821"/>
    <n v="2550"/>
    <m/>
    <m/>
    <n v="1510"/>
    <n v="650"/>
    <n v="975"/>
    <s v="radar"/>
    <s v="2x MissileLauncher, 3x BeamLaser, Cannon"/>
    <s v=""/>
    <n v="1"/>
    <s v="CorShips/T2/corblackhy.lua"/>
    <s v=""/>
  </r>
  <r>
    <s v="armepoch"/>
    <s v="ARM"/>
    <n v="2"/>
    <x v="203"/>
    <s v="Flagship"/>
    <s v=""/>
    <s v="ship_t2_flagship"/>
    <n v="50"/>
    <n v="17000"/>
    <n v="158000"/>
    <n v="169800"/>
    <n v="0"/>
    <n v="0"/>
    <n v="0"/>
    <n v="54"/>
    <n v="50000"/>
    <n v="2.9411764705882355"/>
    <m/>
    <m/>
    <m/>
    <m/>
    <n v="1"/>
    <m/>
    <m/>
    <m/>
    <n v="1727"/>
    <n v="2450"/>
    <m/>
    <m/>
    <n v="1530"/>
    <n v="689"/>
    <n v="1034"/>
    <s v="radar"/>
    <s v="5x Cannon, 2x MissileLauncher"/>
    <s v=""/>
    <n v="1"/>
    <s v="ArmShips/T2/armepoch.lua"/>
    <s v=""/>
  </r>
  <r>
    <s v="corfav"/>
    <s v="CORE"/>
    <n v="1"/>
    <x v="204"/>
    <s v="Light Scout Vehicle"/>
    <s v=""/>
    <s v="vehicle"/>
    <n v="16"/>
    <n v="26"/>
    <n v="270"/>
    <n v="1150"/>
    <n v="0"/>
    <n v="0"/>
    <n v="0"/>
    <n v="153"/>
    <n v="75"/>
    <n v="2.8846153846153846"/>
    <m/>
    <m/>
    <m/>
    <m/>
    <m/>
    <m/>
    <m/>
    <m/>
    <n v="35"/>
    <n v="180"/>
    <m/>
    <m/>
    <m/>
    <n v="600"/>
    <n v="900"/>
    <s v=""/>
    <s v="BeamLaser"/>
    <s v=""/>
    <n v="1"/>
    <s v="CorVehicles/corfav.lua"/>
    <s v=""/>
  </r>
  <r>
    <s v="armfav"/>
    <s v="ARM"/>
    <n v="1"/>
    <x v="205"/>
    <s v="Light Scout Vehicle"/>
    <s v=""/>
    <s v="vehicle"/>
    <n v="15"/>
    <n v="31"/>
    <n v="370"/>
    <n v="950"/>
    <n v="0"/>
    <n v="0"/>
    <n v="0"/>
    <n v="168"/>
    <n v="89"/>
    <n v="2.870967741935484"/>
    <m/>
    <m/>
    <m/>
    <m/>
    <m/>
    <m/>
    <m/>
    <m/>
    <n v="38"/>
    <n v="180"/>
    <m/>
    <m/>
    <m/>
    <n v="635"/>
    <n v="953"/>
    <s v=""/>
    <s v="BeamLaser"/>
    <s v=""/>
    <n v="1"/>
    <s v="ArmVehicles/armfav.lua"/>
    <s v=""/>
  </r>
  <r>
    <s v="armatl"/>
    <s v="ARM"/>
    <n v="2"/>
    <x v="206"/>
    <s v="Advanced Torpedo Launcher"/>
    <s v=""/>
    <s v="defence_2_naval"/>
    <n v="15"/>
    <n v="1000"/>
    <n v="8500"/>
    <n v="9260"/>
    <n v="0"/>
    <n v="0"/>
    <n v="0"/>
    <n v="0"/>
    <n v="2800"/>
    <n v="2.8"/>
    <m/>
    <m/>
    <m/>
    <m/>
    <m/>
    <m/>
    <m/>
    <n v="1"/>
    <n v="360"/>
    <n v="915"/>
    <m/>
    <n v="400"/>
    <m/>
    <n v="585"/>
    <n v="878"/>
    <s v=""/>
    <s v="TorpedoLauncher"/>
    <s v=""/>
    <n v="1"/>
    <s v="ArmBuildings/SeaDefence/armatl.lua"/>
    <s v=""/>
  </r>
  <r>
    <s v="corageo"/>
    <s v="CORE"/>
    <n v="2"/>
    <x v="207"/>
    <s v="Produces 1250 Energy (Hazardous)"/>
    <s v=""/>
    <s v="hazardous"/>
    <n v="74"/>
    <n v="1500"/>
    <n v="27000"/>
    <n v="32000"/>
    <n v="0"/>
    <n v="1250"/>
    <n v="0"/>
    <n v="0"/>
    <n v="4150"/>
    <n v="2.7666666666666666"/>
    <m/>
    <m/>
    <m/>
    <m/>
    <m/>
    <m/>
    <m/>
    <n v="1"/>
    <n v="0"/>
    <n v="0"/>
    <m/>
    <m/>
    <m/>
    <n v="273"/>
    <n v="410"/>
    <s v=""/>
    <s v=""/>
    <s v=""/>
    <n v="1"/>
    <s v="CorBuildings/LandEconomy/corageo.lua"/>
    <s v=""/>
  </r>
  <r>
    <s v="coruwageo"/>
    <s v="CORE"/>
    <n v="2"/>
    <x v="207"/>
    <s v="Produces 1250 Energy (Hazardous)"/>
    <s v=""/>
    <s v="hazardous"/>
    <n v="3"/>
    <n v="1500"/>
    <n v="27000"/>
    <n v="32000"/>
    <n v="0"/>
    <n v="1250"/>
    <n v="0"/>
    <n v="0"/>
    <n v="4150"/>
    <n v="2.7666666666666666"/>
    <m/>
    <n v="1"/>
    <m/>
    <m/>
    <m/>
    <m/>
    <m/>
    <n v="1"/>
    <n v="0"/>
    <n v="0"/>
    <m/>
    <m/>
    <m/>
    <n v="273"/>
    <n v="410"/>
    <s v=""/>
    <s v=""/>
    <s v=""/>
    <n v="1"/>
    <s v="CorBuildings/SeaEconomy/coruwageo.lua"/>
    <s v=""/>
  </r>
  <r>
    <s v="cormh"/>
    <s v="CORE"/>
    <n v="1"/>
    <x v="208"/>
    <s v="Hovercraft Rocket Launcher"/>
    <s v=""/>
    <s v="hover_t1_missile"/>
    <n v="14"/>
    <n v="200"/>
    <n v="3300"/>
    <n v="3500"/>
    <n v="0"/>
    <n v="0"/>
    <n v="0"/>
    <n v="64"/>
    <n v="550"/>
    <n v="2.75"/>
    <m/>
    <m/>
    <m/>
    <n v="1"/>
    <m/>
    <m/>
    <m/>
    <m/>
    <n v="61"/>
    <n v="700"/>
    <m/>
    <m/>
    <m/>
    <n v="509"/>
    <n v="764"/>
    <s v=""/>
    <s v="StarburstLauncher"/>
    <s v=""/>
    <n v="1"/>
    <s v="CorHovercraft/cormh.lua"/>
    <s v=""/>
  </r>
  <r>
    <s v="armcsa"/>
    <s v="ARM"/>
    <n v="1"/>
    <x v="197"/>
    <s v="Tech 1 Constructor"/>
    <s v=""/>
    <s v="air_worker_sea"/>
    <n v="17"/>
    <n v="150"/>
    <n v="7800"/>
    <n v="12000"/>
    <n v="0"/>
    <n v="20"/>
    <n v="75"/>
    <n v="192"/>
    <n v="405"/>
    <n v="2.7"/>
    <n v="1"/>
    <m/>
    <n v="1"/>
    <m/>
    <m/>
    <m/>
    <m/>
    <m/>
    <n v="0"/>
    <n v="0"/>
    <m/>
    <m/>
    <m/>
    <n v="364"/>
    <n v="546"/>
    <s v=""/>
    <s v=""/>
    <s v="armsolar, armadvsol, armwin, armgeo, armmstor, armestor, armmex, armamex, armmakr, armlab, armvp, armap, armhp, armnanotc, armnanotcplat, armeyes, armrad, armdrag, armclaw, armllt, armbeamer, armhlt, armguard, armrl, armferret, armcir, armdl, armjamt, armjuno, armfhp, armsy, armamsub, armplat, armtide, armfmkr, armuwms, armuwes, armfdrag, armfrad, armfhlt, armfrt, armtl, armuwgeo, armasp, armfasp"/>
    <n v="1"/>
    <s v="ArmSeaplanes/armcsa.lua"/>
    <s v=""/>
  </r>
  <r>
    <s v="armbats"/>
    <s v="ARM"/>
    <n v="2"/>
    <x v="209"/>
    <s v="Battleship"/>
    <s v=""/>
    <s v="ship_t2_battleship"/>
    <n v="40"/>
    <n v="3300"/>
    <n v="22000"/>
    <n v="35000"/>
    <n v="0"/>
    <n v="0"/>
    <n v="0"/>
    <n v="58"/>
    <n v="8900"/>
    <n v="2.6969696969696968"/>
    <m/>
    <m/>
    <m/>
    <m/>
    <n v="1"/>
    <m/>
    <m/>
    <m/>
    <n v="600"/>
    <n v="880"/>
    <m/>
    <m/>
    <m/>
    <n v="600"/>
    <n v="900"/>
    <s v=""/>
    <s v="2x Cannon"/>
    <s v=""/>
    <n v="1"/>
    <s v="ArmShips/T2/armbats.lua"/>
    <s v=""/>
  </r>
  <r>
    <s v="corbhmth"/>
    <s v="CORE"/>
    <n v="2"/>
    <x v="210"/>
    <s v="Geothermal Plasma Battery"/>
    <s v=""/>
    <s v="corbhmth"/>
    <n v="39"/>
    <n v="3100"/>
    <n v="35000"/>
    <n v="59600"/>
    <n v="0"/>
    <n v="450"/>
    <n v="0"/>
    <n v="0"/>
    <n v="8300"/>
    <n v="2.6774193548387095"/>
    <m/>
    <m/>
    <m/>
    <m/>
    <m/>
    <m/>
    <m/>
    <n v="1"/>
    <n v="324"/>
    <n v="1650"/>
    <m/>
    <m/>
    <m/>
    <n v="650"/>
    <n v="975"/>
    <s v=""/>
    <s v="3x Cannon"/>
    <s v=""/>
    <n v="1"/>
    <s v="CorBuildings/LandDefenceOffence/corbhmth.lua"/>
    <s v=""/>
  </r>
  <r>
    <s v="armnanotc"/>
    <s v="ARM"/>
    <n v="1"/>
    <x v="211"/>
    <s v="Assist &amp; Repair in large radius"/>
    <s v=""/>
    <s v="nanot1"/>
    <n v="35"/>
    <n v="210"/>
    <n v="3200"/>
    <n v="5300"/>
    <n v="0"/>
    <n v="0"/>
    <n v="200"/>
    <n v="0"/>
    <n v="560"/>
    <n v="2.6666666666666665"/>
    <m/>
    <m/>
    <m/>
    <m/>
    <m/>
    <m/>
    <m/>
    <n v="1"/>
    <n v="0"/>
    <n v="0"/>
    <m/>
    <m/>
    <m/>
    <n v="380"/>
    <n v="570"/>
    <s v=""/>
    <s v=""/>
    <s v=""/>
    <n v="1"/>
    <s v="ArmBuildings/LandUtil/armnanotc.lua"/>
    <s v=""/>
  </r>
  <r>
    <s v="coratl"/>
    <s v="CORE"/>
    <n v="2"/>
    <x v="212"/>
    <s v="Advanced Torpedo Launcher"/>
    <s v=""/>
    <s v="defence_2_naval"/>
    <n v="19"/>
    <n v="1050"/>
    <n v="8500"/>
    <n v="10900"/>
    <n v="0"/>
    <n v="0"/>
    <n v="0"/>
    <n v="0"/>
    <n v="2800"/>
    <n v="2.6666666666666665"/>
    <m/>
    <m/>
    <m/>
    <m/>
    <m/>
    <m/>
    <m/>
    <n v="1"/>
    <n v="363"/>
    <n v="890"/>
    <m/>
    <n v="400"/>
    <m/>
    <n v="585"/>
    <n v="878"/>
    <s v=""/>
    <s v="TorpedoLauncher"/>
    <s v=""/>
    <n v="1"/>
    <s v="CorBuildings/SeaDefence/coratl.lua"/>
    <s v=""/>
  </r>
  <r>
    <s v="cornanotc"/>
    <s v="CORE"/>
    <n v="1"/>
    <x v="211"/>
    <s v="Assist &amp; Repair in large radius"/>
    <s v=""/>
    <s v="nanot1"/>
    <n v="32"/>
    <n v="210"/>
    <n v="3200"/>
    <n v="5300"/>
    <n v="0"/>
    <n v="0"/>
    <n v="200"/>
    <n v="0"/>
    <n v="560"/>
    <n v="2.6666666666666665"/>
    <m/>
    <m/>
    <m/>
    <m/>
    <m/>
    <m/>
    <m/>
    <n v="1"/>
    <n v="0"/>
    <n v="0"/>
    <m/>
    <m/>
    <m/>
    <n v="380"/>
    <n v="570"/>
    <s v=""/>
    <s v=""/>
    <s v=""/>
    <n v="1"/>
    <s v="CorBuildings/LandUtil/cornanotc.lua"/>
    <s v=""/>
  </r>
  <r>
    <s v="armhawk"/>
    <s v="ARM"/>
    <n v="2"/>
    <x v="213"/>
    <s v="Stealth Fighter"/>
    <s v=""/>
    <s v="air_t2"/>
    <n v="9"/>
    <n v="140"/>
    <n v="5700"/>
    <n v="8900"/>
    <n v="0"/>
    <n v="0"/>
    <n v="0"/>
    <n v="359"/>
    <n v="370"/>
    <n v="2.6428571428571428"/>
    <m/>
    <m/>
    <n v="1"/>
    <m/>
    <m/>
    <m/>
    <m/>
    <m/>
    <n v="536"/>
    <n v="740"/>
    <m/>
    <m/>
    <m/>
    <n v="250"/>
    <n v="1100"/>
    <s v="stealth"/>
    <s v="MissileLauncher"/>
    <s v=""/>
    <n v="1"/>
    <s v="ArmAircraft/T2/armhawk.lua"/>
    <s v=""/>
  </r>
  <r>
    <s v="armtarg"/>
    <s v="ARM"/>
    <n v="2"/>
    <x v="214"/>
    <s v="Enhanced Radar Targeting, more facilities enhance accuracy"/>
    <s v=""/>
    <s v="targetting"/>
    <n v="147"/>
    <n v="810"/>
    <n v="7200"/>
    <n v="8700"/>
    <n v="0"/>
    <n v="0"/>
    <n v="0"/>
    <n v="0"/>
    <n v="2100"/>
    <n v="2.5925925925925926"/>
    <m/>
    <m/>
    <m/>
    <m/>
    <m/>
    <m/>
    <m/>
    <n v="1"/>
    <n v="0"/>
    <n v="0"/>
    <m/>
    <m/>
    <m/>
    <n v="273"/>
    <n v="410"/>
    <s v=""/>
    <s v=""/>
    <s v=""/>
    <n v="1"/>
    <s v="ArmBuildings/LandUtil/armtarg.lua"/>
    <s v=""/>
  </r>
  <r>
    <s v="armvang"/>
    <s v="ARM"/>
    <n v="3"/>
    <x v="215"/>
    <s v="All-Terrain Heavy Plasma Cannon"/>
    <s v=""/>
    <s v="allterrain_t3_arty"/>
    <n v="50"/>
    <n v="3300"/>
    <n v="71000"/>
    <n v="91000"/>
    <n v="0"/>
    <n v="0"/>
    <n v="0"/>
    <n v="33"/>
    <n v="8500"/>
    <n v="2.5757575757575757"/>
    <m/>
    <m/>
    <m/>
    <m/>
    <m/>
    <m/>
    <m/>
    <m/>
    <n v="316"/>
    <n v="1450"/>
    <m/>
    <m/>
    <m/>
    <n v="625"/>
    <n v="938"/>
    <s v=""/>
    <s v="3x Cannon"/>
    <s v=""/>
    <n v="1"/>
    <s v="ArmGantry/armvang.lua"/>
    <s v=""/>
  </r>
  <r>
    <s v="corap"/>
    <s v="CORE"/>
    <n v="1"/>
    <x v="216"/>
    <s v="Produces Tech 1 Aircraft"/>
    <s v=""/>
    <s v="factory_air"/>
    <n v="42"/>
    <n v="840"/>
    <n v="1350"/>
    <n v="7180"/>
    <n v="0"/>
    <n v="0"/>
    <n v="100"/>
    <n v="0"/>
    <n v="2150"/>
    <n v="2.5595238095238093"/>
    <m/>
    <m/>
    <m/>
    <m/>
    <m/>
    <m/>
    <m/>
    <n v="1"/>
    <n v="0"/>
    <n v="0"/>
    <m/>
    <m/>
    <n v="510"/>
    <n v="273"/>
    <n v="410"/>
    <s v=""/>
    <s v=""/>
    <s v="corca, corfink, corveng, corshad, corvalk, corbw, corhvytrans"/>
    <n v="1"/>
    <s v="CorBuildings/LandFactories/corap.lua"/>
    <s v=""/>
  </r>
  <r>
    <s v="corban"/>
    <s v="CORE"/>
    <n v="2"/>
    <x v="217"/>
    <s v="Heavy Missile Tank"/>
    <s v=""/>
    <s v="corban_1.6"/>
    <n v="26"/>
    <n v="1000"/>
    <n v="23000"/>
    <n v="23100"/>
    <n v="0"/>
    <n v="0"/>
    <n v="0"/>
    <n v="54"/>
    <n v="2500"/>
    <n v="2.5"/>
    <m/>
    <m/>
    <m/>
    <m/>
    <m/>
    <m/>
    <m/>
    <m/>
    <n v="133"/>
    <n v="800"/>
    <m/>
    <m/>
    <m/>
    <n v="546"/>
    <n v="819"/>
    <s v=""/>
    <s v="MissileLauncher"/>
    <s v=""/>
    <n v="1"/>
    <s v="CorVehicles/T2/corban.lua"/>
    <s v=""/>
  </r>
  <r>
    <s v="corpun"/>
    <s v="CORE"/>
    <n v="1"/>
    <x v="218"/>
    <s v="Area Control Plasma Artillery"/>
    <s v=""/>
    <s v="def_t1_arty"/>
    <n v="32"/>
    <n v="1300"/>
    <n v="13500"/>
    <n v="19300"/>
    <n v="0"/>
    <n v="0"/>
    <n v="0"/>
    <n v="0"/>
    <n v="3250"/>
    <n v="2.5"/>
    <m/>
    <m/>
    <m/>
    <m/>
    <m/>
    <m/>
    <m/>
    <n v="1"/>
    <n v="221"/>
    <n v="1245"/>
    <m/>
    <m/>
    <m/>
    <n v="455"/>
    <n v="683"/>
    <s v=""/>
    <s v="3x Cannon"/>
    <s v=""/>
    <n v="1"/>
    <s v="CorBuildings/LandDefenceOffence/corpun.lua"/>
    <s v=""/>
  </r>
  <r>
    <s v="cortarg"/>
    <s v="CORE"/>
    <n v="2"/>
    <x v="214"/>
    <s v="Enhanced Radar Targeting, more facilities enhance accuracy"/>
    <s v=""/>
    <s v="targetting"/>
    <n v="18"/>
    <n v="800"/>
    <n v="7500"/>
    <n v="10900"/>
    <n v="0"/>
    <n v="0"/>
    <n v="0"/>
    <n v="0"/>
    <n v="2000"/>
    <n v="2.5"/>
    <m/>
    <m/>
    <m/>
    <m/>
    <m/>
    <m/>
    <m/>
    <n v="1"/>
    <n v="0"/>
    <n v="0"/>
    <m/>
    <m/>
    <m/>
    <n v="273"/>
    <n v="410"/>
    <s v=""/>
    <s v=""/>
    <s v=""/>
    <n v="1"/>
    <s v="CorBuildings/LandUtil/cortarg.lua"/>
    <s v=""/>
  </r>
  <r>
    <s v="armsubk"/>
    <s v="ARM"/>
    <n v="2"/>
    <x v="219"/>
    <s v="Fast Assault Submarine"/>
    <s v=""/>
    <s v="sub_t2"/>
    <n v="19"/>
    <n v="950"/>
    <n v="17000"/>
    <n v="22000"/>
    <n v="0"/>
    <n v="0"/>
    <n v="0"/>
    <n v="81"/>
    <n v="2350"/>
    <n v="2.4736842105263159"/>
    <m/>
    <n v="1"/>
    <m/>
    <m/>
    <m/>
    <m/>
    <m/>
    <m/>
    <n v="175"/>
    <n v="400"/>
    <m/>
    <n v="525"/>
    <m/>
    <n v="390"/>
    <n v="585"/>
    <s v=""/>
    <s v="TorpedoLauncher"/>
    <s v=""/>
    <n v="1"/>
    <s v="ArmShips/T2/armsubk.lua"/>
    <s v=""/>
  </r>
  <r>
    <s v="armsfig"/>
    <s v="ARM"/>
    <n v="1"/>
    <x v="220"/>
    <s v="Seaplane Swarmer"/>
    <s v=""/>
    <s v="air_sea"/>
    <n v="12"/>
    <n v="90"/>
    <n v="4500"/>
    <n v="5500"/>
    <n v="0"/>
    <n v="0"/>
    <n v="0"/>
    <n v="311"/>
    <n v="220"/>
    <n v="2.4444444444444446"/>
    <n v="1"/>
    <m/>
    <n v="1"/>
    <m/>
    <m/>
    <m/>
    <m/>
    <m/>
    <n v="252"/>
    <n v="710"/>
    <m/>
    <m/>
    <m/>
    <n v="230"/>
    <n v="950"/>
    <s v=""/>
    <s v="MissileLauncher"/>
    <s v=""/>
    <n v="1"/>
    <s v="ArmSeaplanes/armsfig.lua"/>
    <s v=""/>
  </r>
  <r>
    <s v="corsfig"/>
    <s v="CORE"/>
    <n v="1"/>
    <x v="221"/>
    <s v="Seaplane Swarmer"/>
    <s v=""/>
    <s v="air_sea"/>
    <n v="8"/>
    <n v="90"/>
    <n v="4600"/>
    <n v="5200"/>
    <n v="0"/>
    <n v="0"/>
    <n v="0"/>
    <n v="316"/>
    <n v="220"/>
    <n v="2.4444444444444446"/>
    <n v="1"/>
    <m/>
    <n v="1"/>
    <m/>
    <m/>
    <m/>
    <m/>
    <m/>
    <n v="240"/>
    <n v="710"/>
    <m/>
    <m/>
    <m/>
    <n v="230"/>
    <n v="950"/>
    <s v=""/>
    <s v="MissileLauncher"/>
    <s v=""/>
    <n v="1"/>
    <s v="CorSeaplanes/corsfig.lua"/>
    <s v=""/>
  </r>
  <r>
    <s v="armguard"/>
    <s v="ARM"/>
    <n v="1"/>
    <x v="222"/>
    <s v="Area Control Plasma Artillery"/>
    <s v=""/>
    <s v="def_t1_arty"/>
    <n v="36"/>
    <n v="1250"/>
    <n v="12500"/>
    <n v="21400"/>
    <n v="0"/>
    <n v="0"/>
    <n v="0"/>
    <n v="0"/>
    <n v="3050"/>
    <n v="2.44"/>
    <m/>
    <m/>
    <m/>
    <m/>
    <m/>
    <m/>
    <m/>
    <n v="1"/>
    <n v="212"/>
    <n v="1220"/>
    <m/>
    <m/>
    <m/>
    <n v="455"/>
    <n v="683"/>
    <s v=""/>
    <s v="3x Cannon"/>
    <s v=""/>
    <n v="1"/>
    <s v="ArmBuildings/LandDefenceOffence/armguard.lua"/>
    <s v=""/>
  </r>
  <r>
    <s v="armnanotcplat"/>
    <s v="ARM"/>
    <n v="1"/>
    <x v="223"/>
    <s v="Assist &amp; Repair in large radius"/>
    <s v=""/>
    <s v="nanot1"/>
    <n v="30"/>
    <n v="230"/>
    <n v="2600"/>
    <n v="5300"/>
    <n v="0"/>
    <n v="0"/>
    <n v="200"/>
    <n v="0"/>
    <n v="560"/>
    <n v="2.4347826086956523"/>
    <m/>
    <m/>
    <m/>
    <m/>
    <m/>
    <m/>
    <m/>
    <n v="1"/>
    <n v="0"/>
    <n v="0"/>
    <m/>
    <m/>
    <m/>
    <n v="380"/>
    <n v="570"/>
    <s v=""/>
    <s v=""/>
    <s v=""/>
    <n v="1"/>
    <s v="ArmBuildings/SeaUtil/armnanotcplat.lua"/>
    <s v=""/>
  </r>
  <r>
    <s v="cornanotcplat"/>
    <s v="CORE"/>
    <n v="1"/>
    <x v="223"/>
    <s v="Assist &amp; Repair in large radius"/>
    <s v=""/>
    <s v="nanot1"/>
    <n v="39"/>
    <n v="230"/>
    <n v="2600"/>
    <n v="5300"/>
    <n v="0"/>
    <n v="0"/>
    <n v="200"/>
    <n v="0"/>
    <n v="560"/>
    <n v="2.4347826086956523"/>
    <m/>
    <m/>
    <m/>
    <m/>
    <m/>
    <m/>
    <m/>
    <n v="1"/>
    <n v="0"/>
    <n v="0"/>
    <m/>
    <m/>
    <m/>
    <n v="380"/>
    <n v="570"/>
    <s v=""/>
    <s v=""/>
    <s v=""/>
    <n v="1"/>
    <s v="CorBuildings/SeaUtil/cornanotcplat.lua"/>
    <s v=""/>
  </r>
  <r>
    <s v="armamd"/>
    <s v="ARM"/>
    <n v="2"/>
    <x v="224"/>
    <s v="Anti-Nuke System"/>
    <s v=""/>
    <s v="antinuke"/>
    <n v="68"/>
    <n v="1500"/>
    <n v="38000"/>
    <n v="60000"/>
    <n v="0"/>
    <n v="0"/>
    <n v="0"/>
    <n v="0"/>
    <n v="3650"/>
    <n v="2.4333333333333331"/>
    <m/>
    <m/>
    <m/>
    <m/>
    <m/>
    <m/>
    <m/>
    <n v="1"/>
    <n v="750"/>
    <n v="72000"/>
    <m/>
    <m/>
    <n v="50"/>
    <n v="201"/>
    <n v="302"/>
    <s v=""/>
    <s v="StarburstLauncher"/>
    <s v=""/>
    <n v="1"/>
    <s v="ArmBuildings/LandDefenceOffence/armamd.lua"/>
    <s v=""/>
  </r>
  <r>
    <s v="corfmd"/>
    <s v="CORE"/>
    <n v="2"/>
    <x v="225"/>
    <s v="Anti-Nuke System"/>
    <s v=""/>
    <s v="antinuke"/>
    <n v="38"/>
    <n v="1500"/>
    <n v="40000"/>
    <n v="60000"/>
    <n v="0"/>
    <n v="0"/>
    <n v="0"/>
    <n v="0"/>
    <n v="3650"/>
    <n v="2.4333333333333331"/>
    <m/>
    <m/>
    <m/>
    <m/>
    <m/>
    <m/>
    <m/>
    <n v="1"/>
    <n v="750"/>
    <n v="72000"/>
    <m/>
    <m/>
    <n v="50"/>
    <n v="195"/>
    <n v="293"/>
    <s v=""/>
    <s v="StarburstLauncher"/>
    <s v=""/>
    <n v="1"/>
    <s v="CorBuildings/LandDefenceOffence/corfmd.lua"/>
    <s v=""/>
  </r>
  <r>
    <s v="armblade"/>
    <s v="ARM"/>
    <n v="2"/>
    <x v="226"/>
    <s v="Rapid Assault Gunship"/>
    <s v=""/>
    <s v="air_t2_hover_missile"/>
    <n v="8"/>
    <n v="1250"/>
    <n v="22000"/>
    <n v="24000"/>
    <n v="0"/>
    <n v="0"/>
    <n v="0"/>
    <n v="204"/>
    <n v="3000"/>
    <n v="2.4"/>
    <m/>
    <m/>
    <n v="1"/>
    <m/>
    <m/>
    <m/>
    <m/>
    <m/>
    <n v="168"/>
    <n v="420"/>
    <m/>
    <m/>
    <m/>
    <n v="624"/>
    <n v="936"/>
    <s v=""/>
    <s v="MissileLauncher"/>
    <s v=""/>
    <n v="1"/>
    <s v="ArmAircraft/T2/armblade.lua"/>
    <s v=""/>
  </r>
  <r>
    <s v="armmav"/>
    <s v="ARM"/>
    <n v="2"/>
    <x v="227"/>
    <s v="Skirmish Bot. Auto-Repair. Range increases with experience"/>
    <s v=""/>
    <s v="bot_t2_impulse2x"/>
    <n v="52"/>
    <n v="650"/>
    <n v="11000"/>
    <n v="17000"/>
    <n v="0"/>
    <n v="0"/>
    <n v="0"/>
    <n v="50"/>
    <n v="1560"/>
    <n v="2.4"/>
    <m/>
    <m/>
    <m/>
    <m/>
    <m/>
    <m/>
    <m/>
    <m/>
    <n v="265"/>
    <n v="365"/>
    <m/>
    <m/>
    <m/>
    <n v="550"/>
    <n v="825"/>
    <s v=""/>
    <s v="Cannon"/>
    <s v=""/>
    <n v="1"/>
    <s v="ArmBots/T2/armmav.lua"/>
    <s v=""/>
  </r>
  <r>
    <s v="armap"/>
    <s v="ARM"/>
    <n v="1"/>
    <x v="216"/>
    <s v="Produces Tech 1 Aircraft"/>
    <s v=""/>
    <s v="factory_air"/>
    <n v="50"/>
    <n v="860"/>
    <n v="1350"/>
    <n v="7250"/>
    <n v="0"/>
    <n v="0"/>
    <n v="100"/>
    <n v="0"/>
    <n v="2050"/>
    <n v="2.3837209302325579"/>
    <m/>
    <m/>
    <m/>
    <m/>
    <m/>
    <m/>
    <m/>
    <n v="1"/>
    <n v="0"/>
    <n v="0"/>
    <m/>
    <m/>
    <n v="510"/>
    <n v="292"/>
    <n v="438"/>
    <s v=""/>
    <s v=""/>
    <s v="armca, armpeep, armfig, armthund, armatlas, armkam, armhvytrans"/>
    <n v="1"/>
    <s v="ArmBuildings/LandFactories/armap.lua"/>
    <s v=""/>
  </r>
  <r>
    <s v="corsolar"/>
    <s v="CORE"/>
    <n v="1"/>
    <x v="228"/>
    <s v="Produces 20 Energy"/>
    <s v=""/>
    <s v="energy1_1.0"/>
    <n v="34"/>
    <n v="150"/>
    <n v="0"/>
    <n v="2800"/>
    <n v="0"/>
    <n v="0"/>
    <n v="0"/>
    <n v="0"/>
    <n v="355"/>
    <n v="2.3666666666666667"/>
    <m/>
    <m/>
    <m/>
    <m/>
    <m/>
    <m/>
    <m/>
    <n v="1"/>
    <n v="0"/>
    <n v="0"/>
    <m/>
    <m/>
    <m/>
    <n v="273"/>
    <n v="410"/>
    <s v=""/>
    <s v=""/>
    <s v=""/>
    <n v="1"/>
    <s v="CorBuildings/LandEconomy/corsolar.lua"/>
    <s v=""/>
  </r>
  <r>
    <s v="armmanni"/>
    <s v="ARM"/>
    <n v="2"/>
    <x v="229"/>
    <s v="Mobile Tachyon Weapon"/>
    <s v=""/>
    <s v="armmanni_1.55"/>
    <n v="56"/>
    <n v="1200"/>
    <n v="13500"/>
    <n v="25700"/>
    <n v="0"/>
    <n v="0"/>
    <n v="0"/>
    <n v="42"/>
    <n v="2800"/>
    <n v="2.3333333333333335"/>
    <m/>
    <m/>
    <m/>
    <m/>
    <m/>
    <m/>
    <m/>
    <m/>
    <n v="532"/>
    <n v="950"/>
    <m/>
    <m/>
    <m/>
    <n v="650"/>
    <n v="975"/>
    <s v=""/>
    <s v="BeamLaser"/>
    <s v=""/>
    <n v="1"/>
    <s v="ArmVehicles/T2/armmanni.lua"/>
    <s v=""/>
  </r>
  <r>
    <s v="coramsub"/>
    <s v="CORE"/>
    <n v="1"/>
    <x v="230"/>
    <s v="Produces Amphibious / Underwater Units"/>
    <s v=""/>
    <s v="factory_amph"/>
    <n v="30"/>
    <n v="1200"/>
    <n v="5600"/>
    <n v="11400"/>
    <n v="0"/>
    <n v="0"/>
    <n v="150"/>
    <n v="0"/>
    <n v="2800"/>
    <n v="2.3333333333333335"/>
    <m/>
    <n v="1"/>
    <m/>
    <m/>
    <m/>
    <m/>
    <m/>
    <n v="1"/>
    <n v="0"/>
    <n v="0"/>
    <m/>
    <m/>
    <m/>
    <n v="240"/>
    <n v="360"/>
    <s v=""/>
    <s v=""/>
    <s v="cormuskrat, corgarp, corsala, corparrow, corcrash, coraak, cordecom"/>
    <n v="1"/>
    <s v="CorBuildings/SeaFactories/coramsub.lua"/>
    <s v=""/>
  </r>
  <r>
    <s v="corspy"/>
    <s v="CORE"/>
    <n v="2"/>
    <x v="231"/>
    <s v="Radar-Invisible Spy Bot"/>
    <s v=""/>
    <s v="spy"/>
    <n v="27"/>
    <n v="165"/>
    <n v="12500"/>
    <n v="22200"/>
    <n v="0"/>
    <n v="0"/>
    <n v="50"/>
    <n v="62"/>
    <n v="380"/>
    <n v="2.3030303030303032"/>
    <m/>
    <m/>
    <m/>
    <m/>
    <m/>
    <m/>
    <m/>
    <m/>
    <n v="0"/>
    <n v="0"/>
    <m/>
    <m/>
    <m/>
    <n v="550"/>
    <n v="825"/>
    <s v="cloak, stealth, sonar-stealth"/>
    <s v=""/>
    <s v=""/>
    <n v="1"/>
    <s v="CorBots/T2/corspy.lua"/>
    <s v=""/>
  </r>
  <r>
    <s v="cormort"/>
    <s v="CORE"/>
    <n v="2"/>
    <x v="232"/>
    <s v="Mobile Mortar Bot"/>
    <s v=""/>
    <s v="bot_arty_t2"/>
    <n v="32"/>
    <n v="410"/>
    <n v="2200"/>
    <n v="5140"/>
    <n v="0"/>
    <n v="0"/>
    <n v="0"/>
    <n v="50"/>
    <n v="940"/>
    <n v="2.2926829268292681"/>
    <m/>
    <m/>
    <m/>
    <m/>
    <m/>
    <m/>
    <m/>
    <m/>
    <n v="66"/>
    <n v="850"/>
    <m/>
    <m/>
    <m/>
    <n v="300"/>
    <n v="450"/>
    <s v=""/>
    <s v="Cannon"/>
    <s v=""/>
    <n v="1"/>
    <s v="CorBots/T2/cormort.lua"/>
    <s v=""/>
  </r>
  <r>
    <s v="armfig"/>
    <s v="ARM"/>
    <n v="1"/>
    <x v="233"/>
    <s v="Fighter"/>
    <s v=""/>
    <s v="air"/>
    <n v="8"/>
    <n v="73"/>
    <n v="2900"/>
    <n v="3500"/>
    <n v="0"/>
    <n v="0"/>
    <n v="0"/>
    <n v="289"/>
    <n v="167"/>
    <n v="2.2876712328767121"/>
    <m/>
    <m/>
    <n v="1"/>
    <m/>
    <m/>
    <m/>
    <m/>
    <m/>
    <n v="139"/>
    <n v="680"/>
    <m/>
    <m/>
    <m/>
    <n v="210"/>
    <n v="950"/>
    <s v=""/>
    <s v="MissileLauncher"/>
    <s v=""/>
    <n v="1"/>
    <s v="ArmAircraft/armfig.lua"/>
    <s v=""/>
  </r>
  <r>
    <s v="armfflak"/>
    <s v="ARM"/>
    <n v="2"/>
    <x v="234"/>
    <s v="Anti-Air Flak Gun - Naval Series"/>
    <s v=""/>
    <s v="aa_flak_t2"/>
    <n v="41"/>
    <n v="850"/>
    <n v="23000"/>
    <n v="21900"/>
    <n v="0"/>
    <n v="0"/>
    <n v="0"/>
    <n v="0"/>
    <n v="1920"/>
    <n v="2.2588235294117647"/>
    <m/>
    <m/>
    <m/>
    <m/>
    <m/>
    <m/>
    <m/>
    <n v="1"/>
    <n v="469"/>
    <n v="775"/>
    <m/>
    <m/>
    <m/>
    <n v="550"/>
    <n v="1000"/>
    <s v=""/>
    <s v="Cannon"/>
    <s v=""/>
    <n v="1"/>
    <s v="ArmBuildings/SeaDefence/armfflak.lua"/>
    <s v=""/>
  </r>
  <r>
    <s v="armageo"/>
    <s v="ARM"/>
    <n v="2"/>
    <x v="207"/>
    <s v="Produces 1250 Energy (Hazardous)"/>
    <s v=""/>
    <s v="hazardous"/>
    <n v="56"/>
    <n v="1600"/>
    <n v="27000"/>
    <n v="33300"/>
    <n v="0"/>
    <n v="1250"/>
    <n v="0"/>
    <n v="0"/>
    <n v="3600"/>
    <n v="2.25"/>
    <m/>
    <m/>
    <m/>
    <m/>
    <m/>
    <m/>
    <m/>
    <n v="1"/>
    <n v="0"/>
    <n v="0"/>
    <m/>
    <m/>
    <m/>
    <n v="273"/>
    <n v="410"/>
    <s v=""/>
    <s v=""/>
    <s v=""/>
    <n v="1"/>
    <s v="ArmBuildings/LandEconomy/armageo.lua"/>
    <s v=""/>
  </r>
  <r>
    <s v="armuwageo"/>
    <s v="ARM"/>
    <n v="2"/>
    <x v="207"/>
    <s v="Produces 1250 Energy (Hazardous)"/>
    <s v=""/>
    <s v="hazardous"/>
    <n v="57"/>
    <n v="1600"/>
    <n v="27000"/>
    <n v="33300"/>
    <n v="0"/>
    <n v="1250"/>
    <n v="0"/>
    <n v="0"/>
    <n v="3600"/>
    <n v="2.25"/>
    <m/>
    <n v="1"/>
    <m/>
    <m/>
    <m/>
    <m/>
    <m/>
    <n v="1"/>
    <n v="0"/>
    <n v="0"/>
    <m/>
    <m/>
    <m/>
    <n v="273"/>
    <n v="410"/>
    <s v=""/>
    <s v=""/>
    <s v=""/>
    <n v="1"/>
    <s v="ArmBuildings/SeaEconomy/armuwageo.lua"/>
    <s v=""/>
  </r>
  <r>
    <s v="corenaa"/>
    <s v="CORE"/>
    <n v="2"/>
    <x v="235"/>
    <s v="Anti-Air Flak Gun - Naval Series"/>
    <s v=""/>
    <s v="aa_flak_t2"/>
    <n v="9"/>
    <n v="890"/>
    <n v="25000"/>
    <n v="23100"/>
    <n v="0"/>
    <n v="0"/>
    <n v="0"/>
    <n v="0"/>
    <n v="2000"/>
    <n v="2.2471910112359552"/>
    <m/>
    <m/>
    <m/>
    <m/>
    <m/>
    <m/>
    <m/>
    <n v="1"/>
    <n v="469"/>
    <n v="775"/>
    <m/>
    <m/>
    <m/>
    <n v="550"/>
    <n v="1000"/>
    <s v=""/>
    <s v="Cannon"/>
    <s v=""/>
    <n v="1"/>
    <s v="CorBuildings/SeaDefence/corenaa.lua"/>
    <s v=""/>
  </r>
  <r>
    <s v="armspy"/>
    <s v="ARM"/>
    <n v="2"/>
    <x v="236"/>
    <s v="Radar-Invisible Spy Bot"/>
    <s v=""/>
    <s v="spy"/>
    <n v="33"/>
    <n v="135"/>
    <n v="8800"/>
    <n v="17600"/>
    <n v="0"/>
    <n v="0"/>
    <n v="50"/>
    <n v="65"/>
    <n v="300"/>
    <n v="2.2222222222222223"/>
    <m/>
    <m/>
    <m/>
    <m/>
    <m/>
    <m/>
    <m/>
    <m/>
    <n v="0"/>
    <n v="0"/>
    <m/>
    <m/>
    <m/>
    <n v="550"/>
    <n v="825"/>
    <s v="cloak, stealth, sonar-stealth"/>
    <s v=""/>
    <s v=""/>
    <n v="1"/>
    <s v="ArmBots/T2/armspy.lua"/>
    <s v=""/>
  </r>
  <r>
    <s v="armamsub"/>
    <s v="ARM"/>
    <n v="1"/>
    <x v="230"/>
    <s v="Produces Amphibious / Underwater Units"/>
    <s v=""/>
    <s v="factory_amph"/>
    <n v="64"/>
    <n v="1200"/>
    <n v="5500"/>
    <n v="11100"/>
    <n v="0"/>
    <n v="0"/>
    <n v="150"/>
    <n v="0"/>
    <n v="2650"/>
    <n v="2.2083333333333335"/>
    <m/>
    <n v="1"/>
    <m/>
    <m/>
    <m/>
    <m/>
    <m/>
    <n v="1"/>
    <n v="0"/>
    <n v="0"/>
    <m/>
    <m/>
    <m/>
    <n v="234"/>
    <n v="351"/>
    <s v=""/>
    <s v=""/>
    <s v="armbeaver, armpincer, armcroc, armjeth, armaak, armdecom"/>
    <n v="1"/>
    <s v="ArmBuildings/SeaFactories/armamsub.lua"/>
    <s v=""/>
  </r>
  <r>
    <s v="corshark"/>
    <s v="CORE"/>
    <n v="2"/>
    <x v="237"/>
    <s v="Fast Assault Submarine"/>
    <s v=""/>
    <s v="sub_t2"/>
    <n v="17"/>
    <n v="730"/>
    <n v="14000"/>
    <n v="18000"/>
    <n v="0"/>
    <n v="0"/>
    <n v="0"/>
    <n v="84"/>
    <n v="1610"/>
    <n v="2.2054794520547945"/>
    <m/>
    <n v="1"/>
    <m/>
    <m/>
    <m/>
    <m/>
    <m/>
    <m/>
    <n v="159"/>
    <n v="400"/>
    <m/>
    <n v="525"/>
    <m/>
    <n v="390"/>
    <n v="585"/>
    <s v=""/>
    <s v="TorpedoLauncher"/>
    <s v=""/>
    <n v="1"/>
    <s v="CorShips/T2/corshark.lua"/>
    <s v=""/>
  </r>
  <r>
    <s v="armsolar"/>
    <s v="ARM"/>
    <n v="1"/>
    <x v="228"/>
    <s v="Produces 20 Energy"/>
    <s v=""/>
    <s v="energy1_1.0"/>
    <n v="43"/>
    <n v="155"/>
    <n v="0"/>
    <n v="2800"/>
    <n v="0"/>
    <n v="0"/>
    <n v="0"/>
    <n v="0"/>
    <n v="340"/>
    <n v="2.193548387096774"/>
    <m/>
    <m/>
    <m/>
    <m/>
    <m/>
    <m/>
    <m/>
    <n v="1"/>
    <n v="0"/>
    <n v="0"/>
    <m/>
    <m/>
    <m/>
    <n v="273"/>
    <n v="410"/>
    <s v=""/>
    <s v=""/>
    <s v=""/>
    <n v="1"/>
    <s v="ArmBuildings/LandEconomy/armsolar.lua"/>
    <s v=""/>
  </r>
  <r>
    <s v="coraak"/>
    <s v="CORE"/>
    <n v="2"/>
    <x v="238"/>
    <s v="Heavy Amphibious Anti-Air Bot"/>
    <s v=""/>
    <s v="bot_amph_t2_aa"/>
    <n v="31"/>
    <n v="650"/>
    <n v="6200"/>
    <n v="7600"/>
    <n v="0"/>
    <n v="0"/>
    <n v="0"/>
    <n v="35"/>
    <n v="1420"/>
    <n v="2.1846153846153844"/>
    <n v="1"/>
    <m/>
    <m/>
    <m/>
    <m/>
    <m/>
    <m/>
    <m/>
    <n v="249"/>
    <n v="850"/>
    <m/>
    <m/>
    <m/>
    <n v="390"/>
    <n v="925"/>
    <s v=""/>
    <s v="Cannon, 4x MissileLauncher"/>
    <s v=""/>
    <n v="1"/>
    <s v="CorBots/T2/coraak.lua"/>
    <s v=""/>
  </r>
  <r>
    <s v="armaak"/>
    <s v="ARM"/>
    <n v="2"/>
    <x v="239"/>
    <s v="Advanced Amphibious Anti-Air Bot"/>
    <s v=""/>
    <s v="bot_amph_t2_aa"/>
    <n v="30"/>
    <n v="520"/>
    <n v="5600"/>
    <n v="7000"/>
    <n v="0"/>
    <n v="0"/>
    <n v="0"/>
    <n v="47"/>
    <n v="1130"/>
    <n v="2.1730769230769229"/>
    <n v="1"/>
    <m/>
    <m/>
    <m/>
    <m/>
    <m/>
    <m/>
    <m/>
    <n v="215"/>
    <n v="875"/>
    <m/>
    <m/>
    <m/>
    <n v="400"/>
    <n v="925"/>
    <s v=""/>
    <s v="Cannon, 3x MissileLauncher"/>
    <s v=""/>
    <n v="1"/>
    <s v="ArmBots/T2/armaak.lua"/>
    <s v=""/>
  </r>
  <r>
    <s v="corflak"/>
    <s v="CORE"/>
    <n v="2"/>
    <x v="240"/>
    <s v="Anti-Air Flak Gun"/>
    <s v=""/>
    <s v="aa_flak_t2"/>
    <n v="10"/>
    <n v="850"/>
    <n v="14000"/>
    <n v="20100"/>
    <n v="0"/>
    <n v="0"/>
    <n v="0"/>
    <n v="0"/>
    <n v="1840"/>
    <n v="2.164705882352941"/>
    <m/>
    <m/>
    <m/>
    <m/>
    <m/>
    <m/>
    <m/>
    <n v="1"/>
    <n v="469"/>
    <n v="775"/>
    <m/>
    <m/>
    <m/>
    <n v="525"/>
    <n v="1000"/>
    <s v=""/>
    <s v="Cannon"/>
    <s v=""/>
    <n v="1"/>
    <s v="CorBuildings/LandDefenceOffence/corflak.lua"/>
    <s v=""/>
  </r>
  <r>
    <s v="armack"/>
    <s v="ARM"/>
    <n v="2"/>
    <x v="241"/>
    <s v="Tech 2 Constructor"/>
    <s v=""/>
    <s v="bot_t2_worker"/>
    <n v="34"/>
    <n v="430"/>
    <n v="6900"/>
    <n v="9500"/>
    <n v="0"/>
    <n v="14"/>
    <n v="180"/>
    <n v="33"/>
    <n v="930"/>
    <n v="2.1627906976744184"/>
    <m/>
    <m/>
    <m/>
    <m/>
    <m/>
    <m/>
    <m/>
    <m/>
    <n v="0"/>
    <n v="0"/>
    <m/>
    <m/>
    <n v="50"/>
    <n v="324"/>
    <n v="486"/>
    <s v=""/>
    <s v=""/>
    <s v="armfus, armafus, armckfus, armshltx, armageo, armgmm, armmoho, armmmkr, armuwadves, armuwadvms, armarad, armveil, armfort, armasp, armtarg, armsd, armgate, armamb, armpb, armanni, armflak, armmercury, armemp, armamd, armsilo, armbrtha, armvulc, armdf, armlab, armalab"/>
    <n v="1"/>
    <s v="ArmBots/T2/armack.lua"/>
    <s v=""/>
  </r>
  <r>
    <s v="corvamp"/>
    <s v="CORE"/>
    <n v="2"/>
    <x v="242"/>
    <s v="Stealth Fighter"/>
    <s v=""/>
    <s v="air_t2"/>
    <n v="7"/>
    <n v="135"/>
    <n v="4750"/>
    <n v="8400"/>
    <n v="0"/>
    <n v="0"/>
    <n v="0"/>
    <n v="380"/>
    <n v="290"/>
    <n v="2.1481481481481484"/>
    <m/>
    <m/>
    <n v="1"/>
    <m/>
    <m/>
    <m/>
    <m/>
    <m/>
    <n v="500"/>
    <n v="740"/>
    <m/>
    <m/>
    <m/>
    <n v="250"/>
    <n v="1100"/>
    <s v="stealth"/>
    <s v="MissileLauncher"/>
    <s v=""/>
    <n v="1"/>
    <s v="CorAircraft/T2/corvamp.lua"/>
    <s v=""/>
  </r>
  <r>
    <s v="corveng"/>
    <s v="CORE"/>
    <n v="1"/>
    <x v="243"/>
    <s v="Fighter"/>
    <s v=""/>
    <s v="air"/>
    <n v="14"/>
    <n v="73"/>
    <n v="2800"/>
    <n v="3330"/>
    <n v="0"/>
    <n v="0"/>
    <n v="0"/>
    <n v="298"/>
    <n v="156"/>
    <n v="2.1369863013698631"/>
    <m/>
    <m/>
    <n v="1"/>
    <m/>
    <m/>
    <m/>
    <m/>
    <m/>
    <n v="139"/>
    <n v="680"/>
    <m/>
    <m/>
    <m/>
    <n v="210"/>
    <n v="950"/>
    <s v=""/>
    <s v="MissileLauncher"/>
    <s v=""/>
    <n v="1"/>
    <s v="CorAircraft/corveng.lua"/>
    <s v=""/>
  </r>
  <r>
    <s v="armflak"/>
    <s v="ARM"/>
    <n v="2"/>
    <x v="244"/>
    <s v="Anti-Air Flak Gun"/>
    <s v=""/>
    <s v="aa_flak_t2"/>
    <n v="54"/>
    <n v="820"/>
    <n v="13000"/>
    <n v="19000"/>
    <n v="0"/>
    <n v="0"/>
    <n v="0"/>
    <n v="0"/>
    <n v="1750"/>
    <n v="2.1341463414634148"/>
    <m/>
    <m/>
    <m/>
    <m/>
    <m/>
    <m/>
    <m/>
    <n v="1"/>
    <n v="469"/>
    <n v="775"/>
    <m/>
    <m/>
    <m/>
    <n v="525"/>
    <n v="1000"/>
    <s v=""/>
    <s v="Cannon"/>
    <s v=""/>
    <n v="1"/>
    <s v="ArmBuildings/LandDefenceOffence/armflak.lua"/>
    <s v=""/>
  </r>
  <r>
    <s v="corgantuw"/>
    <s v="CORE"/>
    <n v="3"/>
    <x v="245"/>
    <s v="Produces Large Amphibious Units"/>
    <s v=""/>
    <s v="factory_gantry_uw"/>
    <n v="160"/>
    <n v="8350"/>
    <n v="62500"/>
    <n v="67300"/>
    <n v="0"/>
    <n v="0"/>
    <n v="600"/>
    <n v="0"/>
    <n v="17800"/>
    <n v="2.1317365269461077"/>
    <m/>
    <n v="1"/>
    <m/>
    <m/>
    <m/>
    <m/>
    <m/>
    <n v="1"/>
    <n v="0"/>
    <n v="0"/>
    <m/>
    <m/>
    <m/>
    <n v="273"/>
    <n v="410"/>
    <s v=""/>
    <s v=""/>
    <s v="corkorg, corshiva, corsala, corparrow, corsok"/>
    <n v="1"/>
    <s v="CorBuildings/SeaFactories/corgantuw.lua"/>
    <s v=""/>
  </r>
  <r>
    <s v="corack"/>
    <s v="CORE"/>
    <n v="2"/>
    <x v="241"/>
    <s v="Tech 2 Constructor"/>
    <s v=""/>
    <s v="bot_t2_worker"/>
    <n v="39"/>
    <n v="470"/>
    <n v="6900"/>
    <n v="9700"/>
    <n v="0"/>
    <n v="14"/>
    <n v="180"/>
    <n v="33"/>
    <n v="1000"/>
    <n v="2.1276595744680851"/>
    <m/>
    <m/>
    <m/>
    <m/>
    <m/>
    <m/>
    <m/>
    <m/>
    <n v="0"/>
    <n v="0"/>
    <m/>
    <m/>
    <n v="50"/>
    <n v="319"/>
    <n v="478"/>
    <s v=""/>
    <s v=""/>
    <s v="corfus, corafus, corgant, corageo, corbhmth, cormoho, cormexp, cormmkr, coruwadves, coruwadvms, corarad, corshroud, corfort, corasp, cortarg, corsd, corgate, cortoast, corvipe, cordoom, corflak, corscreamer, cortron, corfmd, corsilo, corint, corbuzz, corlab, coralab"/>
    <n v="1"/>
    <s v="CorBots/T2/corack.lua"/>
    <s v=""/>
  </r>
  <r>
    <s v="corgant"/>
    <s v="CORE"/>
    <n v="3"/>
    <x v="245"/>
    <s v="Produces Experimental Units"/>
    <s v=""/>
    <s v="factory_gantry"/>
    <n v="160"/>
    <n v="8400"/>
    <n v="62000"/>
    <n v="67300"/>
    <n v="0"/>
    <n v="0"/>
    <n v="600"/>
    <n v="0"/>
    <n v="17800"/>
    <n v="2.1190476190476191"/>
    <m/>
    <m/>
    <m/>
    <m/>
    <m/>
    <m/>
    <m/>
    <n v="1"/>
    <n v="0"/>
    <n v="0"/>
    <m/>
    <m/>
    <m/>
    <n v="273"/>
    <n v="410"/>
    <s v=""/>
    <s v=""/>
    <s v="corkorg, corkarg, corjugg, corshiva, corcat, corsok, cordemon"/>
    <n v="1"/>
    <s v="CorBuildings/LandFactories/corgant.lua"/>
    <s v=""/>
  </r>
  <r>
    <s v="correcl"/>
    <s v="CORE"/>
    <n v="1"/>
    <x v="246"/>
    <s v="Resurrection Sub"/>
    <s v=""/>
    <s v="sub_rez"/>
    <n v="22"/>
    <n v="200"/>
    <n v="3200"/>
    <n v="5960"/>
    <n v="0"/>
    <n v="0"/>
    <n v="150"/>
    <n v="67"/>
    <n v="420"/>
    <n v="2.1"/>
    <m/>
    <n v="1"/>
    <m/>
    <m/>
    <m/>
    <m/>
    <m/>
    <m/>
    <n v="0"/>
    <n v="0"/>
    <m/>
    <n v="150"/>
    <m/>
    <n v="300"/>
    <n v="450"/>
    <s v="resurrector"/>
    <s v=""/>
    <s v=""/>
    <n v="1"/>
    <s v="CorShips/correcl.lua"/>
    <s v=""/>
  </r>
  <r>
    <s v="armemp"/>
    <s v="ARM"/>
    <n v="2"/>
    <x v="247"/>
    <s v="EMP Missile Launcher"/>
    <s v=""/>
    <s v="emp"/>
    <n v="27"/>
    <n v="1600"/>
    <n v="29000"/>
    <n v="79300"/>
    <n v="0"/>
    <n v="0"/>
    <n v="0"/>
    <n v="0"/>
    <n v="3350"/>
    <n v="2.09375"/>
    <m/>
    <m/>
    <m/>
    <m/>
    <m/>
    <m/>
    <m/>
    <n v="1"/>
    <n v="0"/>
    <n v="3650"/>
    <m/>
    <m/>
    <m/>
    <n v="455"/>
    <n v="683"/>
    <s v=""/>
    <s v="EMP-StarburstLauncher"/>
    <s v=""/>
    <n v="1"/>
    <s v="ArmBuildings/LandDefenceOffence/armemp.lua"/>
    <s v=""/>
  </r>
  <r>
    <s v="corssub"/>
    <s v="CORE"/>
    <n v="2"/>
    <x v="248"/>
    <s v="Long-Range Battle Submarine"/>
    <s v=""/>
    <s v="battlesub_t2"/>
    <n v="25"/>
    <n v="1900"/>
    <n v="29000"/>
    <n v="24750"/>
    <n v="0"/>
    <n v="0"/>
    <n v="0"/>
    <n v="39"/>
    <n v="3900"/>
    <n v="2.0526315789473686"/>
    <m/>
    <n v="1"/>
    <m/>
    <m/>
    <m/>
    <m/>
    <m/>
    <m/>
    <n v="206"/>
    <n v="850"/>
    <m/>
    <n v="400"/>
    <m/>
    <n v="570"/>
    <n v="855"/>
    <s v="stealth"/>
    <s v="TorpedoLauncher"/>
    <s v=""/>
    <n v="1"/>
    <s v="CorShips/T2/corssub.lua"/>
    <s v=""/>
  </r>
  <r>
    <s v="armshltx"/>
    <s v="ARM"/>
    <n v="3"/>
    <x v="245"/>
    <s v="Produces Experimental Units"/>
    <s v=""/>
    <s v="factory_gantry"/>
    <n v="108"/>
    <n v="7900"/>
    <n v="58000"/>
    <n v="61400"/>
    <n v="0"/>
    <n v="0"/>
    <n v="600"/>
    <n v="0"/>
    <n v="16000"/>
    <n v="2.0253164556962027"/>
    <m/>
    <m/>
    <m/>
    <m/>
    <m/>
    <m/>
    <m/>
    <n v="1"/>
    <n v="0"/>
    <n v="0"/>
    <m/>
    <m/>
    <m/>
    <n v="273"/>
    <n v="410"/>
    <s v=""/>
    <s v=""/>
    <s v="armbanth, armraz, armmar, armvang, armlun, armthor"/>
    <n v="1"/>
    <s v="ArmBuildings/LandFactories/armshltx.lua"/>
    <s v=""/>
  </r>
  <r>
    <s v="armshltxuw"/>
    <s v="ARM"/>
    <n v="3"/>
    <x v="245"/>
    <s v="Produces Large Amphibious Units"/>
    <s v=""/>
    <s v="factory_gantry_uw"/>
    <n v="108"/>
    <n v="7900"/>
    <n v="58000"/>
    <n v="61400"/>
    <n v="0"/>
    <n v="0"/>
    <n v="600"/>
    <n v="0"/>
    <n v="16000"/>
    <n v="2.0253164556962027"/>
    <m/>
    <n v="1"/>
    <m/>
    <m/>
    <m/>
    <m/>
    <m/>
    <n v="1"/>
    <n v="0"/>
    <n v="0"/>
    <m/>
    <m/>
    <m/>
    <n v="273"/>
    <n v="410"/>
    <s v=""/>
    <s v=""/>
    <s v="armbanth, armmar, armcroc, armlun"/>
    <n v="1"/>
    <s v="ArmBuildings/SeaFactories/armshltxuw.lua"/>
    <s v=""/>
  </r>
  <r>
    <s v="armfatf"/>
    <s v="ARM"/>
    <n v="2"/>
    <x v="249"/>
    <s v="Enhanced Radar Targeting"/>
    <s v=""/>
    <s v="targetting"/>
    <n v="70"/>
    <n v="800"/>
    <n v="7300"/>
    <n v="9880"/>
    <n v="0"/>
    <n v="0"/>
    <n v="0"/>
    <n v="0"/>
    <n v="1610"/>
    <n v="2.0125000000000002"/>
    <m/>
    <m/>
    <m/>
    <m/>
    <m/>
    <m/>
    <m/>
    <n v="1"/>
    <n v="0"/>
    <n v="0"/>
    <m/>
    <m/>
    <m/>
    <n v="273"/>
    <n v="410"/>
    <s v=""/>
    <s v=""/>
    <s v=""/>
    <n v="1"/>
    <s v="ArmBuildings/SeaUtil/armfatf.lua"/>
    <s v=""/>
  </r>
  <r>
    <s v="armrecl"/>
    <s v="ARM"/>
    <n v="1"/>
    <x v="250"/>
    <s v="Resurrection Sub"/>
    <s v=""/>
    <s v="sub_rez"/>
    <n v="14"/>
    <n v="210"/>
    <n v="3000"/>
    <n v="6200"/>
    <n v="0"/>
    <n v="0"/>
    <n v="150"/>
    <n v="66"/>
    <n v="420"/>
    <n v="2"/>
    <m/>
    <n v="1"/>
    <m/>
    <m/>
    <m/>
    <m/>
    <m/>
    <m/>
    <n v="0"/>
    <n v="0"/>
    <m/>
    <n v="150"/>
    <m/>
    <n v="300"/>
    <n v="450"/>
    <s v="resurrector"/>
    <s v=""/>
    <s v=""/>
    <n v="1"/>
    <s v="ArmShips/armrecl.lua"/>
    <s v=""/>
  </r>
  <r>
    <s v="armserp"/>
    <s v="ARM"/>
    <n v="2"/>
    <x v="251"/>
    <s v="Long-Range Battle Submarine"/>
    <s v=""/>
    <s v="battlesub_t2"/>
    <n v="22"/>
    <n v="1800"/>
    <n v="27000"/>
    <n v="22770"/>
    <n v="0"/>
    <n v="0"/>
    <n v="0"/>
    <n v="45"/>
    <n v="3550"/>
    <n v="1.9722222222222223"/>
    <m/>
    <n v="1"/>
    <m/>
    <m/>
    <m/>
    <m/>
    <m/>
    <m/>
    <n v="206"/>
    <n v="800"/>
    <m/>
    <n v="400"/>
    <m/>
    <n v="550"/>
    <n v="825"/>
    <s v="stealth"/>
    <s v="2x TorpedoLauncher"/>
    <s v=""/>
    <n v="1"/>
    <s v="ArmShips/T2/armserp.lua"/>
    <s v=""/>
  </r>
  <r>
    <s v="corfink"/>
    <s v="CORE"/>
    <n v="1"/>
    <x v="252"/>
    <s v="Scout"/>
    <s v=""/>
    <s v="air_los"/>
    <n v="9"/>
    <n v="51"/>
    <n v="1450"/>
    <n v="2400"/>
    <n v="0"/>
    <n v="0"/>
    <n v="0"/>
    <n v="360"/>
    <n v="100"/>
    <n v="1.9607843137254901"/>
    <m/>
    <m/>
    <n v="1"/>
    <m/>
    <m/>
    <m/>
    <m/>
    <m/>
    <n v="0"/>
    <n v="0"/>
    <m/>
    <m/>
    <n v="1120"/>
    <n v="835"/>
    <n v="1253"/>
    <s v="radar"/>
    <s v=""/>
    <s v=""/>
    <n v="1"/>
    <s v="CorAircraft/corfink.lua"/>
    <s v=""/>
  </r>
  <r>
    <s v="corfatf"/>
    <s v="CORE"/>
    <n v="2"/>
    <x v="249"/>
    <s v="Enhanced Radar Targeting"/>
    <s v=""/>
    <s v="targetting"/>
    <n v="24"/>
    <n v="800"/>
    <n v="7500"/>
    <n v="10300"/>
    <n v="0"/>
    <n v="0"/>
    <n v="0"/>
    <n v="0"/>
    <n v="1530"/>
    <n v="1.9125000000000001"/>
    <m/>
    <m/>
    <m/>
    <m/>
    <m/>
    <m/>
    <m/>
    <n v="1"/>
    <n v="0"/>
    <n v="0"/>
    <m/>
    <m/>
    <m/>
    <n v="273"/>
    <n v="410"/>
    <s v=""/>
    <s v=""/>
    <s v=""/>
    <n v="1"/>
    <s v="CorBuildings/SeaUtil/corfatf.lua"/>
    <s v=""/>
  </r>
  <r>
    <s v="armsub"/>
    <s v="ARM"/>
    <n v="1"/>
    <x v="253"/>
    <s v="Submarine"/>
    <s v=""/>
    <s v="sub"/>
    <n v="16"/>
    <n v="440"/>
    <n v="3100"/>
    <n v="5800"/>
    <n v="0"/>
    <n v="0"/>
    <n v="0"/>
    <n v="66"/>
    <n v="840"/>
    <n v="1.9090909090909092"/>
    <m/>
    <n v="1"/>
    <m/>
    <m/>
    <m/>
    <m/>
    <m/>
    <m/>
    <n v="86"/>
    <n v="500"/>
    <m/>
    <n v="400"/>
    <m/>
    <n v="400"/>
    <n v="600"/>
    <s v=""/>
    <s v="TorpedoLauncher"/>
    <s v=""/>
    <n v="1"/>
    <s v="ArmShips/armsub.lua"/>
    <s v=""/>
  </r>
  <r>
    <s v="corasy"/>
    <s v="CORE"/>
    <n v="2"/>
    <x v="254"/>
    <s v="Produces Tech 2 Ships"/>
    <s v=""/>
    <s v="factory_ship_t2"/>
    <n v="52"/>
    <n v="3100"/>
    <n v="10000"/>
    <n v="15700"/>
    <n v="0"/>
    <n v="0"/>
    <n v="300"/>
    <n v="0"/>
    <n v="5900"/>
    <n v="1.903225806451613"/>
    <m/>
    <m/>
    <m/>
    <m/>
    <m/>
    <m/>
    <m/>
    <n v="1"/>
    <n v="0"/>
    <n v="0"/>
    <m/>
    <m/>
    <m/>
    <n v="302"/>
    <n v="452"/>
    <s v=""/>
    <s v=""/>
    <s v="coracsub, cormls, corcrus, corshark, corssub, corarch, corsjam, corantiship, corbats, cormship, corblackhy, corfship"/>
    <n v="1"/>
    <s v="CorBuildings/SeaFactories/corasy.lua"/>
    <s v=""/>
  </r>
  <r>
    <s v="armasy"/>
    <s v="ARM"/>
    <n v="2"/>
    <x v="254"/>
    <s v="Produces Tech 2 Ships"/>
    <s v=""/>
    <s v="factory_ship_t2"/>
    <n v="37"/>
    <n v="3200"/>
    <n v="9700"/>
    <n v="16000"/>
    <n v="0"/>
    <n v="0"/>
    <n v="300"/>
    <n v="0"/>
    <n v="6000"/>
    <n v="1.875"/>
    <m/>
    <m/>
    <m/>
    <m/>
    <m/>
    <m/>
    <m/>
    <n v="1"/>
    <n v="0"/>
    <n v="0"/>
    <m/>
    <m/>
    <m/>
    <n v="299"/>
    <n v="449"/>
    <s v=""/>
    <s v=""/>
    <s v="armacsub, armmls, armcrus, armsubk, armserp, armaas, armsjam, armantiship, armbats, armmship, armepoch, armlship"/>
    <n v="1"/>
    <s v="ArmBuildings/SeaFactories/armasy.lua"/>
    <s v=""/>
  </r>
  <r>
    <s v="corsub"/>
    <s v="CORE"/>
    <n v="1"/>
    <x v="255"/>
    <s v="Submarine"/>
    <s v=""/>
    <s v="sub"/>
    <n v="18"/>
    <n v="580"/>
    <n v="4000"/>
    <n v="7200"/>
    <n v="0"/>
    <n v="0"/>
    <n v="0"/>
    <n v="57"/>
    <n v="1060"/>
    <n v="1.8275862068965518"/>
    <m/>
    <n v="1"/>
    <m/>
    <m/>
    <m/>
    <m/>
    <m/>
    <m/>
    <n v="137"/>
    <n v="500"/>
    <m/>
    <n v="400"/>
    <m/>
    <n v="400"/>
    <n v="600"/>
    <s v=""/>
    <s v="TorpedoLauncher"/>
    <s v=""/>
    <n v="1"/>
    <s v="CorShips/corsub.lua"/>
    <s v=""/>
  </r>
  <r>
    <s v="coravp"/>
    <s v="CORE"/>
    <n v="2"/>
    <x v="256"/>
    <s v="Produces Tech 2 Vehicles"/>
    <s v=""/>
    <s v="factory_vehicle_t2"/>
    <n v="42"/>
    <n v="2800"/>
    <n v="16000"/>
    <n v="18500"/>
    <n v="0"/>
    <n v="0"/>
    <n v="300"/>
    <n v="0"/>
    <n v="5100"/>
    <n v="1.8214285714285714"/>
    <m/>
    <m/>
    <m/>
    <m/>
    <m/>
    <m/>
    <m/>
    <n v="1"/>
    <n v="0"/>
    <n v="0"/>
    <m/>
    <m/>
    <m/>
    <n v="286"/>
    <n v="429"/>
    <s v=""/>
    <s v=""/>
    <s v="coracv, corsala, correap, corparrow, corgol, corban, cormart, corvroc, cortrem, corsent, cormabm, coreter, corvrad"/>
    <n v="1"/>
    <s v="CorBuildings/LandFactories/coravp.lua"/>
    <s v=""/>
  </r>
  <r>
    <s v="armanni"/>
    <s v="ARM"/>
    <n v="2"/>
    <x v="257"/>
    <s v="Tachyon Accelerator"/>
    <s v=""/>
    <s v="armanni"/>
    <n v="88"/>
    <n v="3500"/>
    <n v="74000"/>
    <n v="52000"/>
    <n v="0"/>
    <n v="0"/>
    <n v="0"/>
    <n v="0"/>
    <n v="6100"/>
    <n v="1.7428571428571429"/>
    <m/>
    <m/>
    <m/>
    <m/>
    <m/>
    <m/>
    <m/>
    <n v="1"/>
    <n v="1091"/>
    <n v="1400"/>
    <m/>
    <m/>
    <n v="1500"/>
    <n v="780"/>
    <n v="1170"/>
    <s v="radar"/>
    <s v="BeamLaser"/>
    <s v=""/>
    <n v="1"/>
    <s v="ArmBuildings/LandDefenceOffence/armanni.lua"/>
    <s v=""/>
  </r>
  <r>
    <s v="armpeep"/>
    <s v="ARM"/>
    <n v="1"/>
    <x v="258"/>
    <s v="Scout"/>
    <s v=""/>
    <s v="air_los"/>
    <n v="10"/>
    <n v="52"/>
    <n v="1550"/>
    <n v="2800"/>
    <n v="0"/>
    <n v="0"/>
    <n v="0"/>
    <n v="375"/>
    <n v="89"/>
    <n v="1.7115384615384615"/>
    <m/>
    <m/>
    <n v="1"/>
    <m/>
    <m/>
    <m/>
    <m/>
    <m/>
    <n v="0"/>
    <n v="0"/>
    <m/>
    <m/>
    <n v="1140"/>
    <n v="865"/>
    <n v="1298"/>
    <s v="radar"/>
    <s v=""/>
    <s v=""/>
    <n v="1"/>
    <s v="ArmAircraft/armpeep.lua"/>
    <s v=""/>
  </r>
  <r>
    <s v="cortoast"/>
    <s v="CORE"/>
    <n v="2"/>
    <x v="259"/>
    <s v="Pop-up Plasma Artillery"/>
    <s v=""/>
    <s v="def_t2_arty"/>
    <n v="30"/>
    <n v="2500"/>
    <n v="17000"/>
    <n v="25700"/>
    <n v="0"/>
    <n v="0"/>
    <n v="0"/>
    <n v="0"/>
    <n v="4250"/>
    <n v="1.7"/>
    <m/>
    <m/>
    <m/>
    <m/>
    <m/>
    <m/>
    <m/>
    <n v="1"/>
    <n v="400"/>
    <n v="1390"/>
    <m/>
    <m/>
    <m/>
    <n v="416"/>
    <n v="624"/>
    <s v=""/>
    <s v="3x Cannon"/>
    <s v=""/>
    <n v="1"/>
    <s v="CorBuildings/LandDefenceOffence/cortoast.lua"/>
    <s v=""/>
  </r>
  <r>
    <s v="armrectr"/>
    <s v="ARM"/>
    <n v="1"/>
    <x v="260"/>
    <s v="Stealthy Rez / Repair / Reclaim Bot"/>
    <s v=""/>
    <s v="bot_t1_rez"/>
    <n v="31"/>
    <n v="130"/>
    <n v="1400"/>
    <n v="2800"/>
    <n v="0"/>
    <n v="0"/>
    <n v="200"/>
    <n v="78"/>
    <n v="220"/>
    <n v="1.6923076923076923"/>
    <m/>
    <m/>
    <m/>
    <m/>
    <m/>
    <m/>
    <m/>
    <m/>
    <n v="0"/>
    <n v="0"/>
    <m/>
    <m/>
    <n v="50"/>
    <n v="430"/>
    <n v="645"/>
    <s v="stealth, resurrector"/>
    <s v=""/>
    <s v=""/>
    <n v="1"/>
    <s v="ArmBots/armrectr.lua"/>
    <s v=""/>
  </r>
  <r>
    <s v="cornecro"/>
    <s v="CORE"/>
    <n v="1"/>
    <x v="261"/>
    <s v="Stealthy Rez / Reclaim / Repair Bot"/>
    <s v=""/>
    <s v="bot_t1_rez"/>
    <n v="25"/>
    <n v="130"/>
    <n v="1400"/>
    <n v="2800"/>
    <n v="0"/>
    <n v="0"/>
    <n v="200"/>
    <n v="78"/>
    <n v="220"/>
    <n v="1.6923076923076923"/>
    <m/>
    <m/>
    <m/>
    <m/>
    <m/>
    <m/>
    <m/>
    <m/>
    <n v="0"/>
    <n v="0"/>
    <m/>
    <m/>
    <n v="50"/>
    <n v="430"/>
    <n v="645"/>
    <s v="stealth, resurrector"/>
    <s v=""/>
    <s v=""/>
    <n v="1"/>
    <s v="CorBots/cornecro.lua"/>
    <s v=""/>
  </r>
  <r>
    <s v="armmship"/>
    <s v="ARM"/>
    <n v="2"/>
    <x v="262"/>
    <s v="Missile Cruiser"/>
    <s v=""/>
    <s v="ship_t2_missile"/>
    <n v="50"/>
    <n v="2000"/>
    <n v="10000"/>
    <n v="15000"/>
    <n v="0"/>
    <n v="0"/>
    <n v="0"/>
    <n v="63"/>
    <n v="3350"/>
    <n v="1.675"/>
    <m/>
    <m/>
    <m/>
    <m/>
    <n v="1"/>
    <m/>
    <m/>
    <m/>
    <n v="177"/>
    <n v="1550"/>
    <m/>
    <m/>
    <n v="1000"/>
    <n v="319"/>
    <n v="478"/>
    <s v="radar"/>
    <s v="Cannon, MissileLauncher"/>
    <s v=""/>
    <n v="1"/>
    <s v="ArmShips/T2/armmship.lua"/>
    <s v=""/>
  </r>
  <r>
    <s v="cormship"/>
    <s v="CORE"/>
    <n v="2"/>
    <x v="263"/>
    <s v="Cruise Missile Ship"/>
    <s v=""/>
    <s v="ship_t2_missile"/>
    <n v="24"/>
    <n v="2000"/>
    <n v="10000"/>
    <n v="15000"/>
    <n v="0"/>
    <n v="0"/>
    <n v="0"/>
    <n v="61"/>
    <n v="3350"/>
    <n v="1.675"/>
    <m/>
    <m/>
    <m/>
    <m/>
    <n v="1"/>
    <m/>
    <m/>
    <m/>
    <n v="207"/>
    <n v="1550"/>
    <m/>
    <m/>
    <n v="1000"/>
    <n v="319"/>
    <n v="478"/>
    <s v="radar"/>
    <s v="Cannon, MissileLauncher"/>
    <s v=""/>
    <n v="1"/>
    <s v="CorShips/T2/cormship.lua"/>
    <s v=""/>
  </r>
  <r>
    <s v="armavp"/>
    <s v="ARM"/>
    <n v="2"/>
    <x v="256"/>
    <s v="Produces Tech 2 Vehicles"/>
    <s v=""/>
    <s v="factory_vehicle_t2"/>
    <n v="91"/>
    <n v="2900"/>
    <n v="14000"/>
    <n v="18000"/>
    <n v="0"/>
    <n v="0"/>
    <n v="300"/>
    <n v="0"/>
    <n v="4750"/>
    <n v="1.6379310344827587"/>
    <m/>
    <m/>
    <m/>
    <m/>
    <m/>
    <m/>
    <m/>
    <n v="1"/>
    <n v="0"/>
    <n v="0"/>
    <m/>
    <m/>
    <m/>
    <n v="283"/>
    <n v="425"/>
    <s v=""/>
    <s v=""/>
    <s v="armacv, armconsul, armcroc, armlatnk, armbull, armgremlin, armmart, armmerl, armmanni, armyork, armseer, armjam"/>
    <n v="1"/>
    <s v="ArmBuildings/LandFactories/armavp.lua"/>
    <s v=""/>
  </r>
  <r>
    <s v="cortrem"/>
    <s v="CORE"/>
    <n v="2"/>
    <x v="264"/>
    <s v="Heavy Artillery Vehicle"/>
    <s v=""/>
    <s v="cortrem_t2"/>
    <n v="56"/>
    <n v="1850"/>
    <n v="49000"/>
    <n v="31100"/>
    <n v="0"/>
    <n v="0"/>
    <n v="0"/>
    <n v="41"/>
    <n v="3000"/>
    <n v="1.6216216216216217"/>
    <m/>
    <m/>
    <m/>
    <m/>
    <m/>
    <m/>
    <m/>
    <m/>
    <n v="300"/>
    <n v="1470"/>
    <m/>
    <m/>
    <m/>
    <n v="351"/>
    <n v="527"/>
    <s v=""/>
    <s v="Cannon"/>
    <s v=""/>
    <n v="1"/>
    <s v="CorVehicles/T2/cortrem.lua"/>
    <s v=""/>
  </r>
  <r>
    <s v="armamb"/>
    <s v="ARM"/>
    <n v="2"/>
    <x v="265"/>
    <s v="Cloakable Pop-up Plasma Artillery"/>
    <s v=""/>
    <s v="def_t2_arty"/>
    <n v="24"/>
    <n v="2500"/>
    <n v="17000"/>
    <n v="27000"/>
    <n v="0"/>
    <n v="0"/>
    <n v="0"/>
    <n v="0"/>
    <n v="4000"/>
    <n v="1.6"/>
    <m/>
    <m/>
    <m/>
    <m/>
    <m/>
    <m/>
    <m/>
    <n v="1"/>
    <n v="389"/>
    <n v="1380"/>
    <m/>
    <m/>
    <m/>
    <n v="442"/>
    <n v="663"/>
    <s v="cloak"/>
    <s v="3x Cannon"/>
    <s v=""/>
    <n v="1"/>
    <s v="ArmBuildings/LandDefenceOffence/armamb.lua"/>
    <s v=""/>
  </r>
  <r>
    <s v="armfark"/>
    <s v="ARM"/>
    <n v="2"/>
    <x v="266"/>
    <s v="Fast Assist / Repair Bot"/>
    <s v=""/>
    <s v="engineer_small"/>
    <n v="24"/>
    <n v="210"/>
    <n v="3000"/>
    <n v="4300"/>
    <n v="0"/>
    <n v="12"/>
    <n v="140"/>
    <n v="75"/>
    <n v="335"/>
    <n v="1.5952380952380953"/>
    <m/>
    <m/>
    <m/>
    <m/>
    <m/>
    <m/>
    <m/>
    <m/>
    <n v="0"/>
    <n v="0"/>
    <m/>
    <m/>
    <n v="50"/>
    <n v="377"/>
    <n v="566"/>
    <s v=""/>
    <s v=""/>
    <s v="armsolar, armwin, armmex, armmakr, armeyes, armmark, armaser"/>
    <n v="1"/>
    <s v="ArmBots/T2/armfark.lua"/>
    <s v=""/>
  </r>
  <r>
    <s v="armacsub"/>
    <s v="ARM"/>
    <n v="2"/>
    <x v="267"/>
    <s v="Tech 2 Constructor"/>
    <s v=""/>
    <s v="sub_t2_worker"/>
    <n v="26"/>
    <n v="700"/>
    <n v="9000"/>
    <n v="18000"/>
    <n v="0"/>
    <n v="30"/>
    <n v="300"/>
    <n v="72"/>
    <n v="1110"/>
    <n v="1.5857142857142856"/>
    <m/>
    <n v="1"/>
    <m/>
    <m/>
    <m/>
    <m/>
    <m/>
    <m/>
    <n v="0"/>
    <n v="0"/>
    <m/>
    <m/>
    <n v="50"/>
    <n v="156"/>
    <n v="234"/>
    <s v=""/>
    <s v=""/>
    <s v="armuwfus, armuwmmm, armuwmme, armuwadves, armuwadvms, armshltxuw, armasy, armsy, armason, armfatf, armatl, armfflak, armkraken, armuwageo, armfasp"/>
    <n v="1"/>
    <s v="ArmShips/T2/armacsub.lua"/>
    <s v=""/>
  </r>
  <r>
    <s v="coracsub"/>
    <s v="CORE"/>
    <n v="2"/>
    <x v="267"/>
    <s v="Tech 2 Constructor"/>
    <s v=""/>
    <s v="sub_t2_worker"/>
    <n v="19"/>
    <n v="700"/>
    <n v="9000"/>
    <n v="18000"/>
    <n v="0"/>
    <n v="30"/>
    <n v="300"/>
    <n v="65"/>
    <n v="1110"/>
    <n v="1.5857142857142856"/>
    <m/>
    <n v="1"/>
    <m/>
    <m/>
    <m/>
    <m/>
    <m/>
    <m/>
    <n v="0"/>
    <n v="0"/>
    <m/>
    <m/>
    <n v="50"/>
    <n v="156"/>
    <n v="234"/>
    <s v=""/>
    <s v=""/>
    <s v="coruwfus, coruwmmm, coruwmme, coruwadves, coruwadvms, corgantuw, corasy, corsy, corason, corfatf, coratl, corenaa, corfdoom, coruwageo, corfasp"/>
    <n v="1"/>
    <s v="CorShips/T2/coracsub.lua"/>
    <s v=""/>
  </r>
  <r>
    <s v="corvroc"/>
    <s v="CORE"/>
    <n v="2"/>
    <x v="268"/>
    <s v="Stealthy Rocket Launcher - good vs. static defense"/>
    <s v=""/>
    <s v="vehicle_t2_vroc"/>
    <n v="31"/>
    <n v="880"/>
    <n v="6700"/>
    <n v="15000"/>
    <n v="0"/>
    <n v="0"/>
    <n v="0"/>
    <n v="33"/>
    <n v="1390"/>
    <n v="1.5795454545454546"/>
    <m/>
    <m/>
    <m/>
    <m/>
    <m/>
    <m/>
    <m/>
    <m/>
    <n v="106"/>
    <n v="1310"/>
    <m/>
    <m/>
    <m/>
    <n v="221"/>
    <n v="332"/>
    <s v="stealth"/>
    <s v="StarburstLauncher"/>
    <s v=""/>
    <n v="1"/>
    <s v="CorVehicles/T2/corvroc.lua"/>
    <s v=""/>
  </r>
  <r>
    <s v="armmine1"/>
    <s v="ARM"/>
    <n v="1"/>
    <x v="269"/>
    <s v="Light Mine"/>
    <s v=""/>
    <s v="mine"/>
    <n v="7"/>
    <n v="7"/>
    <n v="270"/>
    <n v="100"/>
    <n v="0"/>
    <n v="0"/>
    <n v="0"/>
    <n v="0"/>
    <n v="11"/>
    <n v="1.5714285714285714"/>
    <m/>
    <m/>
    <m/>
    <m/>
    <m/>
    <m/>
    <m/>
    <n v="1"/>
    <n v="445"/>
    <n v="0"/>
    <m/>
    <m/>
    <m/>
    <n v="83"/>
    <n v="125"/>
    <s v="cloak, stealth"/>
    <s v=""/>
    <s v=""/>
    <n v="1"/>
    <s v="ArmBuildings/LandUtil/armmine1.lua"/>
    <s v=""/>
  </r>
  <r>
    <s v="cormine1"/>
    <s v="CORE"/>
    <n v="1"/>
    <x v="269"/>
    <s v="Light Mine"/>
    <s v=""/>
    <s v="mine"/>
    <n v="4"/>
    <n v="7"/>
    <n v="270"/>
    <n v="100"/>
    <n v="0"/>
    <n v="0"/>
    <n v="0"/>
    <n v="0"/>
    <n v="11"/>
    <n v="1.5714285714285714"/>
    <m/>
    <m/>
    <m/>
    <m/>
    <m/>
    <m/>
    <m/>
    <n v="1"/>
    <n v="445"/>
    <n v="0"/>
    <m/>
    <m/>
    <m/>
    <n v="83"/>
    <n v="125"/>
    <s v="cloak, stealth"/>
    <s v=""/>
    <s v=""/>
    <n v="1"/>
    <s v="CorBuildings/LandUtil/cormine1.lua"/>
    <s v=""/>
  </r>
  <r>
    <s v="corplat"/>
    <s v="CORE"/>
    <n v="1"/>
    <x v="270"/>
    <s v="Builds Seaplanes"/>
    <s v=""/>
    <s v="factory_air_sea"/>
    <n v="44"/>
    <n v="1400"/>
    <n v="5500"/>
    <n v="11800"/>
    <n v="0"/>
    <n v="0"/>
    <n v="200"/>
    <n v="0"/>
    <n v="2200"/>
    <n v="1.5714285714285714"/>
    <m/>
    <n v="1"/>
    <m/>
    <m/>
    <m/>
    <m/>
    <m/>
    <n v="1"/>
    <n v="0"/>
    <n v="0"/>
    <m/>
    <n v="800"/>
    <m/>
    <n v="169"/>
    <n v="254"/>
    <s v=""/>
    <s v=""/>
    <s v="corcsa, corcut, corsb, corseap, corsfig, corhunt"/>
    <n v="1"/>
    <s v="CorBuildings/SeaFactories/corplat.lua"/>
    <s v=""/>
  </r>
  <r>
    <s v="coralab"/>
    <s v="CORE"/>
    <n v="2"/>
    <x v="271"/>
    <s v="Produces Tech 2 Bots"/>
    <s v=""/>
    <s v="factory_bot_t2"/>
    <n v="58"/>
    <n v="2900"/>
    <n v="16000"/>
    <n v="16800"/>
    <n v="0"/>
    <n v="0"/>
    <n v="300"/>
    <n v="0"/>
    <n v="4500"/>
    <n v="1.5517241379310345"/>
    <m/>
    <m/>
    <m/>
    <m/>
    <m/>
    <m/>
    <m/>
    <n v="1"/>
    <n v="0"/>
    <n v="0"/>
    <m/>
    <m/>
    <m/>
    <n v="289"/>
    <n v="433"/>
    <s v=""/>
    <s v=""/>
    <s v="corack, corfast, corpyro, coramph, corcan, corsumo, cortermite, cormort, corhrk, coraak, corroach, corsktl, cordecom, corvoyr, corspy, corspec, cormando"/>
    <n v="1"/>
    <s v="CorBuildings/LandFactories/coralab.lua"/>
    <s v=""/>
  </r>
  <r>
    <s v="cormmkr"/>
    <s v="CORE"/>
    <n v="2"/>
    <x v="272"/>
    <s v="Converts 600 energy into 10.3 metal per sec"/>
    <s v=""/>
    <s v="metalmaker_t2"/>
    <n v="24"/>
    <n v="370"/>
    <n v="21000"/>
    <n v="31300"/>
    <n v="0"/>
    <n v="0"/>
    <n v="0"/>
    <n v="0"/>
    <n v="560"/>
    <n v="1.5135135135135136"/>
    <m/>
    <m/>
    <m/>
    <m/>
    <m/>
    <m/>
    <m/>
    <n v="1"/>
    <n v="0"/>
    <n v="0"/>
    <m/>
    <m/>
    <m/>
    <n v="273"/>
    <n v="410"/>
    <s v=""/>
    <s v=""/>
    <s v=""/>
    <n v="1"/>
    <s v="CorBuildings/LandEconomy/cormmkr.lua"/>
    <s v=""/>
  </r>
  <r>
    <s v="coruwmmm"/>
    <s v="CORE"/>
    <n v="2"/>
    <x v="273"/>
    <s v="Converts 600 energy into 10.3 metal per sec"/>
    <s v=""/>
    <s v="metalmaker_t2"/>
    <n v="32"/>
    <n v="370"/>
    <n v="21000"/>
    <n v="31300"/>
    <n v="0"/>
    <n v="0"/>
    <n v="0"/>
    <n v="0"/>
    <n v="560"/>
    <n v="1.5135135135135136"/>
    <m/>
    <m/>
    <m/>
    <m/>
    <m/>
    <m/>
    <m/>
    <n v="1"/>
    <n v="0"/>
    <n v="0"/>
    <m/>
    <m/>
    <m/>
    <n v="143"/>
    <n v="215"/>
    <s v=""/>
    <s v=""/>
    <s v=""/>
    <n v="1"/>
    <s v="CorBuildings/SeaEconomy/coruwmmm.lua"/>
    <s v=""/>
  </r>
  <r>
    <s v="armrad"/>
    <s v="ARM"/>
    <n v="1"/>
    <x v="274"/>
    <s v="Early Warning System"/>
    <s v=""/>
    <s v="radar_t1"/>
    <n v="80"/>
    <n v="60"/>
    <n v="630"/>
    <n v="1140"/>
    <n v="0"/>
    <n v="0"/>
    <n v="0"/>
    <n v="0"/>
    <n v="90"/>
    <n v="1.5"/>
    <m/>
    <m/>
    <m/>
    <m/>
    <m/>
    <m/>
    <m/>
    <n v="1"/>
    <n v="0"/>
    <n v="0"/>
    <m/>
    <m/>
    <n v="2100"/>
    <n v="680"/>
    <n v="1020"/>
    <s v="radar"/>
    <s v=""/>
    <s v=""/>
    <n v="1"/>
    <s v="ArmBuildings/LandUtil/armrad.lua"/>
    <s v=""/>
  </r>
  <r>
    <s v="corrad"/>
    <s v="CORE"/>
    <n v="1"/>
    <x v="274"/>
    <s v="Early Warning System"/>
    <s v=""/>
    <s v="radar_t1"/>
    <n v="78"/>
    <n v="60"/>
    <n v="630"/>
    <n v="1140"/>
    <n v="0"/>
    <n v="0"/>
    <n v="0"/>
    <n v="0"/>
    <n v="90"/>
    <n v="1.5"/>
    <m/>
    <m/>
    <m/>
    <m/>
    <m/>
    <m/>
    <m/>
    <n v="1"/>
    <n v="0"/>
    <n v="0"/>
    <m/>
    <m/>
    <n v="2100"/>
    <n v="680"/>
    <n v="1020"/>
    <s v="radar"/>
    <s v=""/>
    <s v=""/>
    <n v="1"/>
    <s v="CorBuildings/LandUtil/corrad.lua"/>
    <s v=""/>
  </r>
  <r>
    <s v="armalab"/>
    <s v="ARM"/>
    <n v="2"/>
    <x v="271"/>
    <s v="Produces Tech 2 Bots"/>
    <s v=""/>
    <s v="factory_bot_t2"/>
    <n v="65"/>
    <n v="2900"/>
    <n v="15000"/>
    <n v="16200"/>
    <n v="0"/>
    <n v="0"/>
    <n v="300"/>
    <n v="0"/>
    <n v="4250"/>
    <n v="1.4655172413793103"/>
    <m/>
    <m/>
    <m/>
    <m/>
    <m/>
    <m/>
    <m/>
    <n v="1"/>
    <n v="0"/>
    <n v="0"/>
    <m/>
    <m/>
    <m/>
    <n v="286"/>
    <n v="429"/>
    <s v=""/>
    <s v=""/>
    <s v="armack, armfark, armfast, armamph, armzeus, armmav, armsptk, armfido, armsnipe, armfboy, armspid, armaak, armvader, armdecom, armscab, armaser, armspy, armmark"/>
    <n v="1"/>
    <s v="ArmBuildings/LandFactories/armalab.lua"/>
    <s v=""/>
  </r>
  <r>
    <s v="corbw"/>
    <s v="CORE"/>
    <n v="1"/>
    <x v="275"/>
    <s v="Light Paralyzer Drone"/>
    <s v=""/>
    <s v="air_bladew"/>
    <n v="5"/>
    <n v="58"/>
    <n v="1300"/>
    <n v="2070"/>
    <n v="0"/>
    <n v="0"/>
    <n v="0"/>
    <n v="281"/>
    <n v="83"/>
    <n v="1.4310344827586208"/>
    <m/>
    <m/>
    <n v="1"/>
    <m/>
    <m/>
    <m/>
    <m/>
    <m/>
    <n v="0"/>
    <n v="220"/>
    <m/>
    <m/>
    <m/>
    <n v="364"/>
    <n v="546"/>
    <s v=""/>
    <s v="EMP-BeamLaser"/>
    <s v=""/>
    <n v="1"/>
    <s v="CorAircraft/corbw.lua"/>
    <s v=""/>
  </r>
  <r>
    <s v="armca"/>
    <s v="ARM"/>
    <n v="1"/>
    <x v="276"/>
    <s v="Tech 1 Constructor"/>
    <s v=""/>
    <s v="air_worker"/>
    <n v="8"/>
    <n v="110"/>
    <n v="3000"/>
    <n v="7960"/>
    <n v="0"/>
    <n v="5"/>
    <n v="60"/>
    <n v="208"/>
    <n v="156"/>
    <n v="1.4181818181818182"/>
    <m/>
    <m/>
    <n v="1"/>
    <m/>
    <m/>
    <m/>
    <m/>
    <m/>
    <n v="0"/>
    <n v="0"/>
    <m/>
    <m/>
    <m/>
    <n v="390"/>
    <n v="585"/>
    <s v=""/>
    <s v=""/>
    <s v="armsolar, armadvsol, armwin, armgeo, armmstor, armestor, armmex, armamex, armmakr, armasp, armaap, armlab, armvp, armap, armhp, armnanotc, armeyes, armrad, armdrag, armclaw, armllt, armbeamer, armhlt, armguard, armrl, armferret, armcir, armdl, armjamt, armjuno, armsy, armuwgeo, armfasp"/>
    <n v="1"/>
    <s v="ArmAircraft/armca.lua"/>
    <s v=""/>
  </r>
  <r>
    <s v="corca"/>
    <s v="CORE"/>
    <n v="1"/>
    <x v="276"/>
    <s v="Tech 1 Constructor"/>
    <s v=""/>
    <s v="air_worker"/>
    <n v="8"/>
    <n v="115"/>
    <n v="3200"/>
    <n v="8360"/>
    <n v="0"/>
    <n v="5"/>
    <n v="60"/>
    <n v="201"/>
    <n v="161"/>
    <n v="1.4"/>
    <m/>
    <m/>
    <n v="1"/>
    <m/>
    <m/>
    <m/>
    <m/>
    <m/>
    <n v="0"/>
    <n v="0"/>
    <m/>
    <m/>
    <n v="50"/>
    <n v="351"/>
    <n v="527"/>
    <s v=""/>
    <s v=""/>
    <s v="corsolar, coradvsol, corwin, corgeo, cormstor, corestor, cormex, corexp, cormakr, corasp, coraap, corlab, corvp, corap, corhp, cornanotc, coreyes, corrad, cordrag, cormaw, corllt, corhllt, corhlt, corpun, corrl, cormadsam, corerad, cordl, corjamt, corjuno, corsy, coruwgeo, corfasp"/>
    <n v="1"/>
    <s v="CorAircraft/corca.lua"/>
    <s v=""/>
  </r>
  <r>
    <s v="armplat"/>
    <s v="ARM"/>
    <n v="1"/>
    <x v="270"/>
    <s v="Builds Seaplanes"/>
    <s v=""/>
    <s v="factory_air_sea"/>
    <n v="32"/>
    <n v="1450"/>
    <n v="5000"/>
    <n v="12000"/>
    <n v="0"/>
    <n v="0"/>
    <n v="200"/>
    <n v="0"/>
    <n v="2000"/>
    <n v="1.3793103448275863"/>
    <m/>
    <n v="1"/>
    <m/>
    <m/>
    <m/>
    <m/>
    <m/>
    <n v="1"/>
    <n v="0"/>
    <n v="0"/>
    <m/>
    <n v="600"/>
    <n v="750"/>
    <n v="169"/>
    <n v="254"/>
    <s v=""/>
    <s v=""/>
    <s v="armcsa, armsaber, armsb, armseap, armsfig, armsehak"/>
    <n v="1"/>
    <s v="ArmBuildings/SeaFactories/armplat.lua"/>
    <s v=""/>
  </r>
  <r>
    <s v="armcom"/>
    <s v="ARM"/>
    <n v="1"/>
    <x v="277"/>
    <s v="Commander"/>
    <s v=""/>
    <s v="armcom"/>
    <n v="64"/>
    <n v="2700"/>
    <n v="26000"/>
    <n v="75000"/>
    <n v="2"/>
    <n v="25"/>
    <n v="300"/>
    <n v="38"/>
    <n v="3700"/>
    <n v="1.3703703703703705"/>
    <n v="1"/>
    <m/>
    <m/>
    <m/>
    <m/>
    <m/>
    <m/>
    <m/>
    <n v="111498"/>
    <n v="300"/>
    <m/>
    <n v="450"/>
    <n v="700"/>
    <n v="450"/>
    <n v="675"/>
    <s v="cloak, capturer"/>
    <s v="2x BeamLaser, DGun"/>
    <s v="armsolar, armwin, armmstor, armestor, armmex, armmakr, armlab, armvp, armap, armeyes, armrad, armdrag, armllt, armrl, armdl, armtide, armuwms, armuwes, armfmkr, armsy, armfdrag, armtl, armfrt, armfrad, armhp, armfhp"/>
    <n v="0"/>
    <s v="/armcom.lua"/>
    <s v=""/>
  </r>
  <r>
    <s v="corcom"/>
    <s v="CORE"/>
    <n v="1"/>
    <x v="278"/>
    <s v="Commander"/>
    <s v=""/>
    <s v="corcom"/>
    <n v="64"/>
    <n v="2700"/>
    <n v="26000"/>
    <n v="75000"/>
    <n v="2"/>
    <n v="25"/>
    <n v="300"/>
    <n v="38"/>
    <n v="3700"/>
    <n v="1.3703703703703705"/>
    <n v="1"/>
    <m/>
    <m/>
    <m/>
    <m/>
    <m/>
    <m/>
    <m/>
    <n v="111498"/>
    <n v="300"/>
    <m/>
    <n v="450"/>
    <n v="700"/>
    <n v="450"/>
    <n v="675"/>
    <s v="cloak, capturer"/>
    <s v="2x BeamLaser, DGun"/>
    <s v="corsolar, corwin, cormstor, corestor, cormex, cormakr, corlab, corvp, corap, coreyes, corrad, cordrag, corllt, corrl, cordl, cortide, coruwms, coruwes, corfmkr, corsy, corfdrag, cortl, corfrt, corfrad, corhp, corfhp"/>
    <n v="0"/>
    <s v="/corcom.lua"/>
    <s v=""/>
  </r>
  <r>
    <s v="armmerl"/>
    <s v="ARM"/>
    <n v="2"/>
    <x v="279"/>
    <s v="Stealthy Rocket Launcher - good vs. static defense"/>
    <s v=""/>
    <s v="vehicle_t2_vroc"/>
    <n v="28"/>
    <n v="920"/>
    <n v="6500"/>
    <n v="15500"/>
    <n v="0"/>
    <n v="0"/>
    <n v="0"/>
    <n v="33"/>
    <n v="1220"/>
    <n v="1.326086956521739"/>
    <m/>
    <m/>
    <m/>
    <m/>
    <m/>
    <m/>
    <m/>
    <m/>
    <n v="106"/>
    <n v="1300"/>
    <m/>
    <m/>
    <m/>
    <n v="247"/>
    <n v="371"/>
    <s v="stealth"/>
    <s v="StarburstLauncher"/>
    <s v=""/>
    <n v="1"/>
    <s v="ArmVehicles/T2/armmerl.lua"/>
    <s v=""/>
  </r>
  <r>
    <s v="cormando"/>
    <s v="CORE"/>
    <n v="2"/>
    <x v="280"/>
    <s v="Stealthy Paratrooper Bot"/>
    <s v=""/>
    <s v="cormando"/>
    <n v="49"/>
    <n v="1200"/>
    <n v="15500"/>
    <n v="17100"/>
    <n v="0"/>
    <n v="10"/>
    <n v="200"/>
    <n v="75"/>
    <n v="1560"/>
    <n v="1.3"/>
    <n v="1"/>
    <m/>
    <m/>
    <m/>
    <m/>
    <m/>
    <m/>
    <m/>
    <n v="200"/>
    <n v="300"/>
    <n v="150"/>
    <m/>
    <n v="900"/>
    <n v="600"/>
    <n v="900"/>
    <s v="jammer"/>
    <s v="LaserCannon"/>
    <s v="corvalk, corfink, cormine2, cormaw, cordrag, coreyes, corjamt"/>
    <n v="1"/>
    <s v="CorBots/T2/cormando.lua"/>
    <s v=""/>
  </r>
  <r>
    <s v="corcat"/>
    <s v="CORE"/>
    <n v="3"/>
    <x v="281"/>
    <s v="Heavy Rocket Bot"/>
    <s v=""/>
    <s v="corcat_1.9"/>
    <n v="69"/>
    <n v="4900"/>
    <n v="80000"/>
    <n v="127000"/>
    <n v="0"/>
    <n v="0"/>
    <n v="0"/>
    <n v="48"/>
    <n v="6100"/>
    <n v="1.2448979591836735"/>
    <m/>
    <m/>
    <m/>
    <m/>
    <m/>
    <m/>
    <m/>
    <m/>
    <n v="600"/>
    <n v="1350"/>
    <m/>
    <m/>
    <m/>
    <n v="700"/>
    <n v="1050"/>
    <s v=""/>
    <s v="MissileLauncher"/>
    <s v=""/>
    <n v="1"/>
    <s v="CorGantry/corcat.lua"/>
    <s v=""/>
  </r>
  <r>
    <s v="coraap"/>
    <s v="CORE"/>
    <n v="2"/>
    <x v="282"/>
    <s v="Produces Tech 2 Aircraft"/>
    <s v=""/>
    <s v="factory_air_t2"/>
    <n v="51"/>
    <n v="3200"/>
    <n v="28000"/>
    <n v="20700"/>
    <n v="0"/>
    <n v="0"/>
    <n v="200"/>
    <n v="0"/>
    <n v="3900"/>
    <n v="1.21875"/>
    <m/>
    <m/>
    <m/>
    <m/>
    <m/>
    <m/>
    <m/>
    <n v="1"/>
    <n v="0"/>
    <n v="0"/>
    <m/>
    <m/>
    <n v="1000"/>
    <n v="306"/>
    <n v="458"/>
    <s v="radar"/>
    <s v=""/>
    <s v="coraca, corape, corhurc, cortitan, corvamp, corawac, corseah, corcrwh"/>
    <n v="1"/>
    <s v="CorBuildings/LandFactories/coraap.lua"/>
    <s v=""/>
  </r>
  <r>
    <s v="armgate"/>
    <s v="ARM"/>
    <n v="2"/>
    <x v="283"/>
    <s v="Plasma Deflector"/>
    <s v=""/>
    <s v="shield"/>
    <n v="35"/>
    <n v="3000"/>
    <n v="54000"/>
    <n v="55000"/>
    <n v="0"/>
    <n v="0"/>
    <n v="0"/>
    <n v="0"/>
    <n v="3550"/>
    <n v="1.1833333333333333"/>
    <m/>
    <m/>
    <m/>
    <m/>
    <m/>
    <m/>
    <m/>
    <n v="1"/>
    <n v="1"/>
    <n v="10"/>
    <m/>
    <m/>
    <m/>
    <n v="273"/>
    <n v="410"/>
    <s v="shield"/>
    <s v="Shield"/>
    <s v=""/>
    <n v="1"/>
    <s v="ArmBuildings/LandUtil/armgate.lua"/>
    <s v=""/>
  </r>
  <r>
    <s v="armaap"/>
    <s v="ARM"/>
    <n v="2"/>
    <x v="282"/>
    <s v="Produces Tech 2 Aircraft"/>
    <s v=""/>
    <s v="factory_air_t2"/>
    <n v="85"/>
    <n v="3200"/>
    <n v="29000"/>
    <n v="20900"/>
    <n v="0"/>
    <n v="0"/>
    <n v="200"/>
    <n v="0"/>
    <n v="3750"/>
    <n v="1.171875"/>
    <m/>
    <m/>
    <m/>
    <m/>
    <m/>
    <m/>
    <m/>
    <n v="1"/>
    <n v="0"/>
    <n v="0"/>
    <m/>
    <m/>
    <n v="1000"/>
    <n v="312"/>
    <n v="468"/>
    <s v="radar"/>
    <s v=""/>
    <s v="armaca, armbrawl, armpnix, armlance, armhawk, armawac, armdfly, armblade, armstil, armliche"/>
    <n v="1"/>
    <s v="ArmBuildings/LandFactories/armaap.lua"/>
    <s v=""/>
  </r>
  <r>
    <s v="armmmkr"/>
    <s v="ARM"/>
    <n v="2"/>
    <x v="272"/>
    <s v="Converts 600 energy into 10.3 metal per sec"/>
    <s v=""/>
    <s v="metalmaker_t2"/>
    <n v="28"/>
    <n v="380"/>
    <n v="21000"/>
    <n v="35000"/>
    <n v="0"/>
    <n v="0"/>
    <n v="0"/>
    <n v="0"/>
    <n v="445"/>
    <n v="1.1710526315789473"/>
    <m/>
    <m/>
    <m/>
    <m/>
    <m/>
    <m/>
    <m/>
    <n v="1"/>
    <n v="0"/>
    <n v="0"/>
    <m/>
    <m/>
    <m/>
    <n v="273"/>
    <n v="410"/>
    <s v=""/>
    <s v=""/>
    <s v=""/>
    <n v="1"/>
    <s v="ArmBuildings/LandEconomy/armmmkr.lua"/>
    <s v=""/>
  </r>
  <r>
    <s v="armuwmmm"/>
    <s v="ARM"/>
    <n v="2"/>
    <x v="273"/>
    <s v="Converts 600 energy into 10.3 metal per sec"/>
    <s v=""/>
    <s v="metalmaker_t2"/>
    <n v="33"/>
    <n v="380"/>
    <n v="21000"/>
    <n v="35000"/>
    <n v="0"/>
    <n v="0"/>
    <n v="0"/>
    <n v="0"/>
    <n v="445"/>
    <n v="1.1710526315789473"/>
    <m/>
    <m/>
    <m/>
    <m/>
    <m/>
    <m/>
    <m/>
    <n v="1"/>
    <n v="0"/>
    <n v="0"/>
    <m/>
    <m/>
    <m/>
    <n v="156"/>
    <n v="234"/>
    <s v=""/>
    <s v=""/>
    <s v=""/>
    <n v="1"/>
    <s v="ArmBuildings/SeaEconomy/armuwmmm.lua"/>
    <s v=""/>
  </r>
  <r>
    <s v="corfus"/>
    <s v="CORE"/>
    <n v="2"/>
    <x v="284"/>
    <s v="Produces 1100 Energy"/>
    <s v=""/>
    <s v="fusion"/>
    <n v="70"/>
    <n v="4500"/>
    <n v="26000"/>
    <n v="75400"/>
    <n v="0"/>
    <n v="1100"/>
    <n v="0"/>
    <n v="0"/>
    <n v="5000"/>
    <n v="1.1111111111111112"/>
    <m/>
    <m/>
    <m/>
    <m/>
    <m/>
    <m/>
    <m/>
    <n v="1"/>
    <n v="0"/>
    <n v="0"/>
    <m/>
    <m/>
    <m/>
    <n v="273"/>
    <n v="410"/>
    <s v=""/>
    <s v=""/>
    <s v=""/>
    <n v="1"/>
    <s v="CorBuildings/LandEconomy/corfus.lua"/>
    <s v=""/>
  </r>
  <r>
    <s v="corgate"/>
    <s v="CORE"/>
    <n v="2"/>
    <x v="285"/>
    <s v="Plasma Deflector"/>
    <s v=""/>
    <s v="shield"/>
    <n v="52"/>
    <n v="3200"/>
    <n v="55000"/>
    <n v="55000"/>
    <n v="0"/>
    <n v="0"/>
    <n v="0"/>
    <n v="0"/>
    <n v="3550"/>
    <n v="1.109375"/>
    <m/>
    <m/>
    <m/>
    <m/>
    <m/>
    <m/>
    <m/>
    <n v="1"/>
    <n v="1"/>
    <n v="10"/>
    <m/>
    <m/>
    <m/>
    <n v="273"/>
    <n v="410"/>
    <s v="shield"/>
    <s v="Shield"/>
    <s v=""/>
    <n v="1"/>
    <s v="CorBuildings/LandUtil/corgate.lua"/>
    <s v=""/>
  </r>
  <r>
    <s v="coruwfus"/>
    <s v="CORE"/>
    <n v="2"/>
    <x v="286"/>
    <s v="Produces 1220 Energy"/>
    <s v=""/>
    <s v="fusion"/>
    <n v="32"/>
    <n v="5400"/>
    <n v="34000"/>
    <n v="105000"/>
    <n v="0"/>
    <n v="1220"/>
    <n v="0"/>
    <n v="0"/>
    <n v="5900"/>
    <n v="1.0925925925925926"/>
    <m/>
    <n v="1"/>
    <m/>
    <m/>
    <m/>
    <m/>
    <m/>
    <n v="1"/>
    <n v="0"/>
    <n v="0"/>
    <m/>
    <m/>
    <m/>
    <n v="143"/>
    <n v="215"/>
    <s v=""/>
    <s v=""/>
    <s v=""/>
    <n v="1"/>
    <s v="CorBuildings/SeaEconomy/coruwfus.lua"/>
    <s v=""/>
  </r>
  <r>
    <s v="armuwfus"/>
    <s v="ARM"/>
    <n v="2"/>
    <x v="286"/>
    <s v="Produces 1200 Energy"/>
    <s v=""/>
    <s v="fusion"/>
    <n v="50"/>
    <n v="5200"/>
    <n v="33500"/>
    <n v="99900"/>
    <n v="0"/>
    <n v="1200"/>
    <n v="0"/>
    <n v="0"/>
    <n v="5600"/>
    <n v="1.0769230769230769"/>
    <m/>
    <n v="1"/>
    <m/>
    <m/>
    <m/>
    <m/>
    <m/>
    <n v="1"/>
    <n v="0"/>
    <n v="0"/>
    <m/>
    <m/>
    <m/>
    <n v="143"/>
    <n v="215"/>
    <s v=""/>
    <s v=""/>
    <s v=""/>
    <n v="1"/>
    <s v="ArmBuildings/SeaEconomy/armuwfus.lua"/>
    <s v=""/>
  </r>
  <r>
    <s v="armliche"/>
    <s v="ARM"/>
    <n v="2"/>
    <x v="287"/>
    <s v="Atomic Bomber"/>
    <s v=""/>
    <s v="air_liche"/>
    <n v="22"/>
    <n v="2200"/>
    <n v="46000"/>
    <n v="57400"/>
    <n v="0"/>
    <n v="0"/>
    <n v="0"/>
    <n v="295"/>
    <n v="2300"/>
    <n v="1.0454545454545454"/>
    <m/>
    <m/>
    <n v="1"/>
    <m/>
    <m/>
    <m/>
    <m/>
    <m/>
    <n v="625"/>
    <n v="250"/>
    <m/>
    <m/>
    <m/>
    <n v="455"/>
    <n v="683"/>
    <s v=""/>
    <s v="MissileLauncher"/>
    <s v=""/>
    <n v="1"/>
    <s v="ArmAircraft/T2/armliche.lua"/>
    <s v=""/>
  </r>
  <r>
    <s v="armmercury"/>
    <s v="ARM"/>
    <n v="2"/>
    <x v="288"/>
    <s v="Long Range Anti-Air Tower"/>
    <s v=""/>
    <s v="aa_longrange_t2"/>
    <n v="81"/>
    <n v="1600"/>
    <n v="33000"/>
    <n v="28000"/>
    <n v="0"/>
    <n v="0"/>
    <n v="0"/>
    <n v="0"/>
    <n v="1670"/>
    <n v="1.04375"/>
    <m/>
    <m/>
    <m/>
    <m/>
    <m/>
    <m/>
    <m/>
    <n v="1"/>
    <n v="417"/>
    <n v="2400"/>
    <m/>
    <m/>
    <m/>
    <n v="600"/>
    <n v="2400"/>
    <s v=""/>
    <s v="MissileLauncher"/>
    <s v=""/>
    <n v="1"/>
    <s v="ArmBuildings/LandDefenceOffence/armmercury.lua"/>
    <s v=""/>
  </r>
  <r>
    <s v="armfus"/>
    <s v="ARM"/>
    <n v="2"/>
    <x v="284"/>
    <s v="Produces 1000 Energy"/>
    <s v=""/>
    <s v="fusion"/>
    <n v="64"/>
    <n v="4300"/>
    <n v="21000"/>
    <n v="70000"/>
    <n v="0"/>
    <n v="1000"/>
    <n v="0"/>
    <n v="0"/>
    <n v="4450"/>
    <n v="1.0348837209302326"/>
    <m/>
    <m/>
    <m/>
    <m/>
    <m/>
    <m/>
    <m/>
    <n v="1"/>
    <n v="0"/>
    <n v="0"/>
    <m/>
    <m/>
    <m/>
    <n v="273"/>
    <n v="410"/>
    <s v=""/>
    <s v=""/>
    <s v=""/>
    <n v="1"/>
    <s v="ArmBuildings/LandEconomy/armfus.lua"/>
    <s v=""/>
  </r>
  <r>
    <s v="corint"/>
    <s v="CORE"/>
    <n v="2"/>
    <x v="289"/>
    <s v="Long Range Plasma Cannon"/>
    <s v=""/>
    <s v="corint"/>
    <n v="88"/>
    <n v="4600"/>
    <n v="67000"/>
    <n v="93300"/>
    <n v="0"/>
    <n v="0"/>
    <n v="0"/>
    <n v="0"/>
    <n v="4700"/>
    <n v="1.0217391304347827"/>
    <m/>
    <m/>
    <m/>
    <m/>
    <m/>
    <m/>
    <m/>
    <n v="1"/>
    <n v="125"/>
    <n v="4950"/>
    <m/>
    <m/>
    <m/>
    <n v="273"/>
    <n v="410"/>
    <s v=""/>
    <s v="Cannon"/>
    <s v=""/>
    <n v="1"/>
    <s v="CorBuildings/LandDefenceOffence/corint.lua"/>
    <s v=""/>
  </r>
  <r>
    <s v="corhrk"/>
    <s v="CORE"/>
    <n v="2"/>
    <x v="290"/>
    <s v="Heavy Rocket Bot"/>
    <s v=""/>
    <s v="bot_t2_vroc"/>
    <n v="34"/>
    <n v="600"/>
    <n v="5800"/>
    <n v="6600"/>
    <n v="0"/>
    <n v="0"/>
    <n v="0"/>
    <n v="54"/>
    <n v="610"/>
    <n v="1.0166666666666666"/>
    <m/>
    <m/>
    <m/>
    <m/>
    <m/>
    <m/>
    <m/>
    <m/>
    <n v="100"/>
    <n v="1210"/>
    <m/>
    <m/>
    <m/>
    <n v="371"/>
    <n v="556"/>
    <s v=""/>
    <s v="StarburstLauncher"/>
    <s v=""/>
    <n v="1"/>
    <s v="CorBots/T2/corhrk.lua"/>
    <s v=""/>
  </r>
  <r>
    <s v="corscreamer"/>
    <s v="CORE"/>
    <n v="2"/>
    <x v="291"/>
    <s v="Long Range Anti-Air Tower"/>
    <s v=""/>
    <s v="aa_longrange_t2"/>
    <n v="61"/>
    <n v="1650"/>
    <n v="32000"/>
    <n v="28000"/>
    <n v="0"/>
    <n v="0"/>
    <n v="0"/>
    <n v="0"/>
    <n v="1670"/>
    <n v="1.0121212121212122"/>
    <m/>
    <m/>
    <m/>
    <m/>
    <m/>
    <m/>
    <m/>
    <n v="1"/>
    <n v="417"/>
    <n v="2400"/>
    <m/>
    <m/>
    <m/>
    <n v="600"/>
    <n v="2400"/>
    <s v=""/>
    <s v="MissileLauncher"/>
    <s v=""/>
    <n v="1"/>
    <s v="CorBuildings/LandDefenceOffence/corscreamer.lua"/>
    <s v=""/>
  </r>
  <r>
    <s v="armbrtha"/>
    <s v="ARM"/>
    <n v="2"/>
    <x v="292"/>
    <s v="Long Range Plasma Cannon"/>
    <s v=""/>
    <s v="armbrtha"/>
    <n v="88"/>
    <n v="4500"/>
    <n v="64000"/>
    <n v="85000"/>
    <n v="0"/>
    <n v="0"/>
    <n v="0"/>
    <n v="0"/>
    <n v="4450"/>
    <n v="0.98888888888888893"/>
    <m/>
    <m/>
    <m/>
    <m/>
    <m/>
    <m/>
    <m/>
    <n v="1"/>
    <n v="123"/>
    <n v="4650"/>
    <m/>
    <m/>
    <m/>
    <n v="273"/>
    <n v="410"/>
    <s v=""/>
    <s v="Cannon"/>
    <s v=""/>
    <n v="1"/>
    <s v="ArmBuildings/LandDefenceOffence/armbrtha.lua"/>
    <s v=""/>
  </r>
  <r>
    <s v="corafus"/>
    <s v="CORE"/>
    <n v="2"/>
    <x v="293"/>
    <s v="Produces 3000 Energy (Hazardous)"/>
    <s v=""/>
    <s v="energy5_1.85"/>
    <n v="99"/>
    <n v="9700"/>
    <n v="48000"/>
    <n v="329200"/>
    <n v="0"/>
    <n v="3000"/>
    <n v="0"/>
    <n v="0"/>
    <n v="9400"/>
    <n v="0.96907216494845361"/>
    <m/>
    <m/>
    <m/>
    <m/>
    <m/>
    <m/>
    <m/>
    <n v="1"/>
    <n v="0"/>
    <n v="0"/>
    <m/>
    <m/>
    <m/>
    <n v="273"/>
    <n v="410"/>
    <s v=""/>
    <s v=""/>
    <s v=""/>
    <n v="1"/>
    <s v="CorBuildings/LandEconomy/corafus.lua"/>
    <s v=""/>
  </r>
  <r>
    <s v="armckfus"/>
    <s v="ARM"/>
    <n v="2"/>
    <x v="294"/>
    <s v="Produces 1050 Energy"/>
    <s v=""/>
    <s v="fusion"/>
    <n v="61"/>
    <n v="4700"/>
    <n v="26000"/>
    <n v="84400"/>
    <n v="0"/>
    <n v="1050"/>
    <n v="0"/>
    <n v="0"/>
    <n v="4450"/>
    <n v="0.94680851063829785"/>
    <m/>
    <m/>
    <m/>
    <m/>
    <m/>
    <m/>
    <m/>
    <n v="1"/>
    <n v="0"/>
    <n v="0"/>
    <m/>
    <m/>
    <m/>
    <n v="273"/>
    <n v="410"/>
    <s v="cloak"/>
    <s v=""/>
    <s v=""/>
    <n v="1"/>
    <s v="ArmBuildings/LandEconomy/armckfus.lua"/>
    <s v=""/>
  </r>
  <r>
    <s v="corfrad"/>
    <s v="CORE"/>
    <n v="1"/>
    <x v="295"/>
    <s v="Early Warning System"/>
    <s v=""/>
    <s v="radar_t1"/>
    <n v="84"/>
    <n v="130"/>
    <n v="1000"/>
    <n v="1800"/>
    <n v="0"/>
    <n v="0"/>
    <n v="0"/>
    <n v="0"/>
    <n v="114"/>
    <n v="0.87692307692307692"/>
    <m/>
    <m/>
    <m/>
    <m/>
    <m/>
    <m/>
    <m/>
    <n v="1"/>
    <n v="0"/>
    <n v="0"/>
    <m/>
    <n v="900"/>
    <n v="2100"/>
    <n v="740"/>
    <n v="1110"/>
    <s v="radar"/>
    <s v=""/>
    <s v=""/>
    <n v="1"/>
    <s v="CorBuildings/SeaUtil/corfrad.lua"/>
    <s v=""/>
  </r>
  <r>
    <s v="armsnipe"/>
    <s v="ARM"/>
    <n v="2"/>
    <x v="296"/>
    <s v="Sniper Bot"/>
    <s v=""/>
    <s v="armsnipe_1.3"/>
    <n v="42"/>
    <n v="680"/>
    <n v="20000"/>
    <n v="19000"/>
    <n v="0"/>
    <n v="0"/>
    <n v="0"/>
    <n v="33"/>
    <n v="580"/>
    <n v="0.8529411764705882"/>
    <m/>
    <m/>
    <m/>
    <m/>
    <m/>
    <m/>
    <m/>
    <m/>
    <n v="250"/>
    <n v="900"/>
    <m/>
    <m/>
    <m/>
    <n v="455"/>
    <n v="683"/>
    <s v="cloak"/>
    <s v="Cannon"/>
    <s v=""/>
    <n v="1"/>
    <s v="ArmBots/T2/armsnipe.lua"/>
    <s v=""/>
  </r>
  <r>
    <s v="armfrad"/>
    <s v="ARM"/>
    <n v="1"/>
    <x v="295"/>
    <s v="Early Warning System"/>
    <s v=""/>
    <s v="radar_t1"/>
    <n v="59"/>
    <n v="130"/>
    <n v="1000"/>
    <n v="1800"/>
    <n v="0"/>
    <n v="0"/>
    <n v="0"/>
    <n v="0"/>
    <n v="110"/>
    <n v="0.84615384615384615"/>
    <m/>
    <m/>
    <m/>
    <m/>
    <m/>
    <m/>
    <m/>
    <n v="1"/>
    <n v="0"/>
    <n v="0"/>
    <m/>
    <n v="900"/>
    <n v="2100"/>
    <n v="760"/>
    <n v="1140"/>
    <s v="radar"/>
    <s v=""/>
    <s v=""/>
    <n v="1"/>
    <s v="ArmBuildings/SeaUtil/armfrad.lua"/>
    <s v=""/>
  </r>
  <r>
    <s v="armafus"/>
    <s v="ARM"/>
    <n v="2"/>
    <x v="293"/>
    <s v="Produces 3000 Energy (Hazardous)"/>
    <s v=""/>
    <s v="energy5_1.85"/>
    <n v="85"/>
    <n v="9700"/>
    <n v="69000"/>
    <n v="312500"/>
    <n v="0"/>
    <n v="3000"/>
    <n v="0"/>
    <n v="0"/>
    <n v="7900"/>
    <n v="0.81443298969072164"/>
    <m/>
    <m/>
    <m/>
    <m/>
    <m/>
    <m/>
    <m/>
    <n v="1"/>
    <n v="0"/>
    <n v="0"/>
    <m/>
    <m/>
    <m/>
    <n v="273"/>
    <n v="410"/>
    <s v=""/>
    <s v=""/>
    <s v=""/>
    <n v="1"/>
    <s v="ArmBuildings/LandEconomy/armafus.lua"/>
    <s v=""/>
  </r>
  <r>
    <s v="corsilo"/>
    <s v="CORE"/>
    <n v="2"/>
    <x v="297"/>
    <s v="Nuclear ICBM Launcher"/>
    <s v=""/>
    <s v="nuke"/>
    <n v="30"/>
    <n v="7700"/>
    <n v="82000"/>
    <n v="181000"/>
    <n v="0"/>
    <n v="0"/>
    <n v="0"/>
    <n v="0"/>
    <n v="6200"/>
    <n v="0.80519480519480524"/>
    <m/>
    <m/>
    <m/>
    <m/>
    <m/>
    <m/>
    <m/>
    <n v="1"/>
    <n v="383"/>
    <n v="72000"/>
    <m/>
    <m/>
    <n v="50"/>
    <n v="455"/>
    <n v="683"/>
    <s v=""/>
    <s v="StarburstLauncher, Cannon"/>
    <s v=""/>
    <n v="1"/>
    <s v="CorBuildings/LandDefenceOffence/corsilo.lua"/>
    <s v=""/>
  </r>
  <r>
    <s v="armscab"/>
    <s v="ARM"/>
    <n v="2"/>
    <x v="298"/>
    <s v="Mobile Anti-Nuke"/>
    <s v=""/>
    <s v="antinukemobile"/>
    <n v="39"/>
    <n v="1150"/>
    <n v="30000"/>
    <n v="40000"/>
    <n v="0"/>
    <n v="0"/>
    <n v="0"/>
    <n v="51"/>
    <n v="870"/>
    <n v="0.75652173913043474"/>
    <m/>
    <m/>
    <m/>
    <m/>
    <m/>
    <m/>
    <m/>
    <m/>
    <n v="250"/>
    <n v="72000"/>
    <m/>
    <m/>
    <n v="50"/>
    <n v="450"/>
    <n v="675"/>
    <s v=""/>
    <s v="StarburstLauncher"/>
    <s v=""/>
    <n v="1"/>
    <s v="ArmBots/T2/armscab.lua"/>
    <s v=""/>
  </r>
  <r>
    <s v="armsilo"/>
    <s v="ARM"/>
    <n v="2"/>
    <x v="299"/>
    <s v="Nuclear ICBM Launcher"/>
    <s v=""/>
    <s v="nuke"/>
    <n v="72"/>
    <n v="8100"/>
    <n v="90000"/>
    <n v="178500"/>
    <n v="0"/>
    <n v="0"/>
    <n v="0"/>
    <n v="0"/>
    <n v="5900"/>
    <n v="0.72839506172839508"/>
    <m/>
    <m/>
    <m/>
    <m/>
    <m/>
    <m/>
    <m/>
    <n v="1"/>
    <n v="317"/>
    <n v="72000"/>
    <m/>
    <m/>
    <n v="50"/>
    <n v="455"/>
    <n v="683"/>
    <s v=""/>
    <s v="StarburstLauncher, Cannon"/>
    <s v=""/>
    <n v="1"/>
    <s v="ArmBuildings/LandDefenceOffence/armsilo.lua"/>
    <s v=""/>
  </r>
  <r>
    <s v="cormabm"/>
    <s v="CORE"/>
    <n v="2"/>
    <x v="300"/>
    <s v="Mobile Anti-Nuke"/>
    <s v=""/>
    <s v="antinukevehicle"/>
    <n v="44"/>
    <n v="1250"/>
    <n v="32000"/>
    <n v="42000"/>
    <n v="0"/>
    <n v="0"/>
    <n v="0"/>
    <n v="51"/>
    <n v="870"/>
    <n v="0.69599999999999995"/>
    <m/>
    <m/>
    <m/>
    <m/>
    <m/>
    <m/>
    <m/>
    <m/>
    <n v="250"/>
    <n v="72000"/>
    <m/>
    <m/>
    <n v="50"/>
    <n v="450"/>
    <n v="675"/>
    <s v=""/>
    <s v="StarburstLauncher"/>
    <s v=""/>
    <n v="1"/>
    <s v="CorVehicles/T2/cormabm.lua"/>
    <s v=""/>
  </r>
  <r>
    <s v="corarad"/>
    <s v="CORE"/>
    <n v="2"/>
    <x v="301"/>
    <s v="Long-Range Radar"/>
    <s v=""/>
    <s v="radar_t2"/>
    <n v="90"/>
    <n v="560"/>
    <n v="19000"/>
    <n v="12000"/>
    <n v="0"/>
    <n v="0"/>
    <n v="0"/>
    <n v="0"/>
    <n v="365"/>
    <n v="0.6517857142857143"/>
    <m/>
    <m/>
    <m/>
    <m/>
    <m/>
    <m/>
    <m/>
    <n v="1"/>
    <n v="0"/>
    <n v="0"/>
    <m/>
    <m/>
    <n v="3500"/>
    <n v="780"/>
    <n v="1170"/>
    <s v="radar"/>
    <s v=""/>
    <s v=""/>
    <n v="1"/>
    <s v="CorBuildings/LandUtil/corarad.lua"/>
    <s v=""/>
  </r>
  <r>
    <s v="armarad"/>
    <s v="ARM"/>
    <n v="2"/>
    <x v="301"/>
    <s v="Long-Range Radar"/>
    <s v=""/>
    <s v="radar_t2"/>
    <n v="21"/>
    <n v="560"/>
    <n v="19000"/>
    <n v="11800"/>
    <n v="0"/>
    <n v="0"/>
    <n v="0"/>
    <n v="0"/>
    <n v="355"/>
    <n v="0.6339285714285714"/>
    <m/>
    <m/>
    <m/>
    <m/>
    <m/>
    <m/>
    <m/>
    <n v="1"/>
    <n v="0"/>
    <n v="0"/>
    <m/>
    <m/>
    <n v="3500"/>
    <n v="820"/>
    <n v="1230"/>
    <s v="radar"/>
    <s v=""/>
    <s v=""/>
    <n v="1"/>
    <s v="ArmBuildings/LandUtil/armarad.lua"/>
    <s v=""/>
  </r>
  <r>
    <s v="armaca"/>
    <s v="ARM"/>
    <n v="2"/>
    <x v="302"/>
    <s v="Tech 2 Constructor"/>
    <s v=""/>
    <s v="air_t2_worker"/>
    <n v="11"/>
    <n v="340"/>
    <n v="12000"/>
    <n v="17750"/>
    <n v="0"/>
    <n v="10"/>
    <n v="100"/>
    <n v="192"/>
    <n v="200"/>
    <n v="0.58823529411764708"/>
    <m/>
    <m/>
    <n v="1"/>
    <m/>
    <m/>
    <m/>
    <m/>
    <m/>
    <n v="0"/>
    <n v="0"/>
    <m/>
    <m/>
    <n v="50"/>
    <n v="384"/>
    <n v="575"/>
    <s v=""/>
    <s v=""/>
    <s v="armfus, armafus, armckfus, armageo, armuwageo, armgmm, armmoho, armmmkr, armuwadves, armuwadvms, armarad, armveil, armfort, armasp, armfasp, armtarg, armsd, armgate, armamb, armpb, armanni, armflak, armmercury, armemp, armamd, armsilo, armbrtha, armvulc, armdf, armap, armaap, armplat, armshltx"/>
    <n v="1"/>
    <s v="ArmAircraft/T2/armaca.lua"/>
    <s v=""/>
  </r>
  <r>
    <s v="coraca"/>
    <s v="CORE"/>
    <n v="2"/>
    <x v="302"/>
    <s v="Tech 2 Constructor"/>
    <s v=""/>
    <s v="air_t2_worker"/>
    <n v="18"/>
    <n v="360"/>
    <n v="11000"/>
    <n v="18000"/>
    <n v="0"/>
    <n v="10"/>
    <n v="100"/>
    <n v="182"/>
    <n v="205"/>
    <n v="0.56944444444444442"/>
    <m/>
    <m/>
    <n v="1"/>
    <m/>
    <m/>
    <m/>
    <m/>
    <m/>
    <n v="0"/>
    <n v="0"/>
    <m/>
    <m/>
    <n v="50"/>
    <n v="384"/>
    <n v="575"/>
    <s v=""/>
    <s v=""/>
    <s v="corfus, corafus, corageo, coruwageo, corbhmth, cormoho, cormexp, cormmkr, coruwadves, coruwadvms, corarad, corshroud, corfort, corasp, corfasp, cortarg, corsd, corgate, cortoast, corvipe, cordoom, corflak, corscreamer, cortron, corfmd, corsilo, corint, corbuzz, corap, coraap, corplat, corgant"/>
    <n v="1"/>
    <s v="CorAircraft/T2/coraca.lua"/>
    <s v=""/>
  </r>
  <r>
    <s v="corbuzz"/>
    <s v="CORE"/>
    <n v="2"/>
    <x v="303"/>
    <s v="Rapid-Fire Long-Range Plasma Cannon"/>
    <s v=""/>
    <s v="corbuzz"/>
    <n v="152"/>
    <n v="68000"/>
    <n v="800000"/>
    <n v="1400000"/>
    <n v="0"/>
    <n v="0"/>
    <n v="0"/>
    <n v="0"/>
    <n v="33500"/>
    <n v="0.49264705882352944"/>
    <m/>
    <m/>
    <m/>
    <m/>
    <m/>
    <m/>
    <m/>
    <n v="1"/>
    <n v="2727"/>
    <n v="6100"/>
    <m/>
    <m/>
    <m/>
    <n v="700"/>
    <n v="1050"/>
    <s v=""/>
    <s v="Cannon"/>
    <s v=""/>
    <n v="1"/>
    <s v="CorBuildings/LandDefenceOffence/corbuzz.lua"/>
    <s v=""/>
  </r>
  <r>
    <s v="corsktl"/>
    <s v="CORE"/>
    <n v="2"/>
    <x v="304"/>
    <s v="Advanced Amphibious Crawling Bomb"/>
    <s v=""/>
    <s v="corsktl"/>
    <n v="12"/>
    <n v="755"/>
    <n v="27000"/>
    <n v="17000"/>
    <n v="0"/>
    <n v="0"/>
    <n v="0"/>
    <n v="84"/>
    <n v="355"/>
    <n v="0.47019867549668876"/>
    <n v="1"/>
    <m/>
    <m/>
    <m/>
    <m/>
    <m/>
    <m/>
    <m/>
    <n v="2700"/>
    <n v="42"/>
    <m/>
    <m/>
    <m/>
    <n v="260"/>
    <n v="390"/>
    <s v="cloak"/>
    <s v="Melee, Cannon"/>
    <s v=""/>
    <n v="1"/>
    <s v="CorBots/T2/corsktl.lua"/>
    <s v=""/>
  </r>
  <r>
    <s v="armvulc"/>
    <s v="ARM"/>
    <n v="2"/>
    <x v="305"/>
    <s v="Rapid-Fire Long-Range Plasma Cannon"/>
    <s v=""/>
    <s v="armvulc"/>
    <n v="148"/>
    <n v="70000"/>
    <n v="830000"/>
    <n v="1400000"/>
    <n v="0"/>
    <n v="0"/>
    <n v="0"/>
    <n v="0"/>
    <n v="32000"/>
    <n v="0.45714285714285713"/>
    <m/>
    <m/>
    <m/>
    <m/>
    <m/>
    <m/>
    <m/>
    <n v="1"/>
    <n v="2708"/>
    <n v="5750"/>
    <m/>
    <m/>
    <m/>
    <n v="700"/>
    <n v="1050"/>
    <s v=""/>
    <s v="Cannon"/>
    <s v=""/>
    <n v="1"/>
    <s v="ArmBuildings/LandDefenceOffence/armvulc.lua"/>
    <s v=""/>
  </r>
  <r>
    <s v="armmine2"/>
    <s v="ARM"/>
    <n v="1"/>
    <x v="306"/>
    <s v="Medium Mine"/>
    <s v=""/>
    <s v="mine"/>
    <n v="8"/>
    <n v="25"/>
    <n v="1050"/>
    <n v="300"/>
    <n v="0"/>
    <n v="0"/>
    <n v="0"/>
    <n v="0"/>
    <n v="11"/>
    <n v="0.44"/>
    <m/>
    <m/>
    <m/>
    <m/>
    <m/>
    <m/>
    <m/>
    <n v="1"/>
    <n v="1110"/>
    <n v="0"/>
    <m/>
    <m/>
    <m/>
    <n v="83"/>
    <n v="125"/>
    <s v="cloak, stealth"/>
    <s v=""/>
    <s v=""/>
    <n v="1"/>
    <s v="ArmBuildings/LandUtil/armmine2.lua"/>
    <s v=""/>
  </r>
  <r>
    <s v="cormine2"/>
    <s v="CORE"/>
    <n v="1"/>
    <x v="306"/>
    <s v="Medium Mine"/>
    <s v=""/>
    <s v="mine"/>
    <n v="8"/>
    <n v="25"/>
    <n v="1050"/>
    <n v="300"/>
    <n v="0"/>
    <n v="0"/>
    <n v="0"/>
    <n v="0"/>
    <n v="11"/>
    <n v="0.44"/>
    <m/>
    <m/>
    <m/>
    <m/>
    <m/>
    <m/>
    <m/>
    <n v="1"/>
    <n v="1110"/>
    <n v="0"/>
    <m/>
    <m/>
    <m/>
    <n v="83"/>
    <n v="125"/>
    <s v="cloak, stealth"/>
    <s v=""/>
    <s v=""/>
    <n v="1"/>
    <s v="CorBuildings/LandUtil/cormine2.lua"/>
    <s v=""/>
  </r>
  <r>
    <s v="armfmine3"/>
    <s v="ARM"/>
    <n v="1"/>
    <x v="307"/>
    <s v="Heavy Mine, Naval Series"/>
    <s v=""/>
    <s v="mine"/>
    <n v="12"/>
    <n v="32"/>
    <n v="1600"/>
    <n v="400"/>
    <n v="0"/>
    <n v="0"/>
    <n v="0"/>
    <n v="0"/>
    <n v="11"/>
    <n v="0.34375"/>
    <m/>
    <m/>
    <m/>
    <m/>
    <m/>
    <m/>
    <m/>
    <n v="1"/>
    <n v="1940"/>
    <n v="0"/>
    <m/>
    <m/>
    <m/>
    <n v="78"/>
    <n v="117"/>
    <s v="cloak, stealth, sonar-stealth"/>
    <s v=""/>
    <s v=""/>
    <n v="1"/>
    <s v="ArmBuildings/SeaUtil/armfmine3.lua"/>
    <s v=""/>
  </r>
  <r>
    <s v="corfmine3"/>
    <s v="CORE"/>
    <n v="1"/>
    <x v="307"/>
    <s v="Heavy Mine, Naval Series"/>
    <s v=""/>
    <s v="mine"/>
    <n v="12"/>
    <n v="32"/>
    <n v="1600"/>
    <n v="400"/>
    <n v="0"/>
    <n v="0"/>
    <n v="0"/>
    <n v="0"/>
    <n v="11"/>
    <n v="0.34375"/>
    <m/>
    <m/>
    <m/>
    <m/>
    <m/>
    <m/>
    <m/>
    <n v="1"/>
    <n v="1940"/>
    <n v="0"/>
    <m/>
    <m/>
    <m/>
    <n v="72"/>
    <n v="107"/>
    <s v="cloak, stealth, sonar-stealth"/>
    <s v=""/>
    <s v=""/>
    <n v="1"/>
    <s v="CorBuildings/SeaUtil/corfmine3.lua"/>
    <s v=""/>
  </r>
  <r>
    <s v="armmine3"/>
    <s v="ARM"/>
    <n v="1"/>
    <x v="307"/>
    <s v="Heavy Mine"/>
    <s v=""/>
    <s v="mine"/>
    <n v="12"/>
    <n v="50"/>
    <n v="2800"/>
    <n v="700"/>
    <n v="0"/>
    <n v="0"/>
    <n v="0"/>
    <n v="0"/>
    <n v="11"/>
    <n v="0.22"/>
    <m/>
    <m/>
    <m/>
    <m/>
    <m/>
    <m/>
    <m/>
    <n v="1"/>
    <n v="3000"/>
    <n v="0"/>
    <m/>
    <m/>
    <m/>
    <n v="83"/>
    <n v="125"/>
    <s v="cloak, stealth"/>
    <s v=""/>
    <s v=""/>
    <n v="1"/>
    <s v="ArmBuildings/LandUtil/armmine3.lua"/>
    <s v=""/>
  </r>
  <r>
    <s v="cormine3"/>
    <s v="CORE"/>
    <n v="1"/>
    <x v="307"/>
    <s v="Heavy Mine"/>
    <s v=""/>
    <s v="mine"/>
    <n v="12"/>
    <n v="50"/>
    <n v="2800"/>
    <n v="700"/>
    <n v="0"/>
    <n v="0"/>
    <n v="0"/>
    <n v="0"/>
    <n v="11"/>
    <n v="0.22"/>
    <m/>
    <m/>
    <m/>
    <m/>
    <m/>
    <m/>
    <m/>
    <n v="1"/>
    <n v="3000"/>
    <n v="0"/>
    <m/>
    <m/>
    <m/>
    <n v="83"/>
    <n v="125"/>
    <s v="cloak, stealth"/>
    <s v=""/>
    <s v=""/>
    <n v="1"/>
    <s v="CorBuildings/LandUtil/cormine3.lua"/>
    <s v=""/>
  </r>
  <r>
    <s v="armnuke"/>
    <s v="ARM"/>
    <n v="2"/>
    <x v="308"/>
    <s v="Armada Nuke, Custom Add"/>
    <m/>
    <m/>
    <m/>
    <n v="1000"/>
    <n v="125000"/>
    <n v="120"/>
    <m/>
    <m/>
    <m/>
    <m/>
    <m/>
    <n v="0"/>
    <m/>
    <m/>
    <m/>
    <m/>
    <m/>
    <m/>
    <m/>
    <m/>
    <m/>
    <m/>
    <m/>
    <m/>
    <m/>
    <m/>
    <m/>
    <m/>
    <m/>
    <m/>
    <m/>
    <m/>
    <m/>
  </r>
  <r>
    <s v="cornuke"/>
    <s v="CORE"/>
    <n v="2"/>
    <x v="309"/>
    <s v="Cortex Nuke, Custom Add"/>
    <m/>
    <m/>
    <m/>
    <n v="1500"/>
    <n v="187500"/>
    <n v="180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A31BD-EDF5-4EEC-A97E-D778D93B319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313" firstHeaderRow="1" firstDataRow="1" firstDataCol="1"/>
  <pivotFields count="38">
    <pivotField showAll="0"/>
    <pivotField showAll="0"/>
    <pivotField showAll="0"/>
    <pivotField axis="axisRow" showAll="0">
      <items count="340">
        <item x="177"/>
        <item x="282"/>
        <item x="271"/>
        <item x="302"/>
        <item x="241"/>
        <item x="267"/>
        <item x="175"/>
        <item x="272"/>
        <item x="193"/>
        <item x="293"/>
        <item x="207"/>
        <item x="64"/>
        <item x="301"/>
        <item x="254"/>
        <item x="194"/>
        <item x="7"/>
        <item x="256"/>
        <item x="53"/>
        <item x="218"/>
        <item x="137"/>
        <item x="216"/>
        <item x="279"/>
        <item x="230"/>
        <item x="18"/>
        <item x="119"/>
        <item x="297"/>
        <item x="244"/>
        <item x="290"/>
        <item x="239"/>
        <item x="277"/>
        <item x="299"/>
        <item x="166"/>
        <item m="1" x="332"/>
        <item x="163"/>
        <item x="217"/>
        <item x="179"/>
        <item x="219"/>
        <item x="292"/>
        <item x="289"/>
        <item m="1" x="338"/>
        <item x="221"/>
        <item x="38"/>
        <item x="48"/>
        <item x="21"/>
        <item x="5"/>
        <item x="23"/>
        <item x="101"/>
        <item x="135"/>
        <item x="240"/>
        <item x="202"/>
        <item x="258"/>
        <item x="60"/>
        <item x="111"/>
        <item x="123"/>
        <item x="27"/>
        <item x="62"/>
        <item x="113"/>
        <item x="196"/>
        <item x="266"/>
        <item x="303"/>
        <item x="17"/>
        <item x="201"/>
        <item x="139"/>
        <item x="281"/>
        <item x="79"/>
        <item x="74"/>
        <item x="210"/>
        <item x="72"/>
        <item x="224"/>
        <item x="294"/>
        <item x="110"/>
        <item x="280"/>
        <item x="183"/>
        <item x="93"/>
        <item x="276"/>
        <item x="94"/>
        <item x="33"/>
        <item x="197"/>
        <item x="96"/>
        <item x="211"/>
        <item x="14"/>
        <item x="144"/>
        <item x="19"/>
        <item x="117"/>
        <item x="152"/>
        <item x="278"/>
        <item x="81"/>
        <item x="108"/>
        <item x="141"/>
        <item x="220"/>
        <item x="122"/>
        <item x="246"/>
        <item x="131"/>
        <item x="9"/>
        <item x="199"/>
        <item x="192"/>
        <item x="86"/>
        <item x="91"/>
        <item x="191"/>
        <item x="164"/>
        <item x="89"/>
        <item x="0"/>
        <item x="165"/>
        <item x="209"/>
        <item x="43"/>
        <item x="253"/>
        <item x="82"/>
        <item x="4"/>
        <item x="11"/>
        <item m="1" x="317"/>
        <item m="1" x="318"/>
        <item m="1" x="337"/>
        <item m="1" x="334"/>
        <item m="1" x="325"/>
        <item m="1" x="315"/>
        <item m="1" x="331"/>
        <item m="1" x="313"/>
        <item m="1" x="333"/>
        <item m="1" x="316"/>
        <item m="1" x="336"/>
        <item m="1" x="314"/>
        <item m="1" x="321"/>
        <item m="1" x="324"/>
        <item x="203"/>
        <item x="88"/>
        <item x="245"/>
        <item x="68"/>
        <item x="233"/>
        <item x="87"/>
        <item x="176"/>
        <item x="97"/>
        <item x="252"/>
        <item m="1" x="326"/>
        <item m="1" x="312"/>
        <item m="1" x="319"/>
        <item m="1" x="330"/>
        <item m="1" x="320"/>
        <item x="2"/>
        <item x="77"/>
        <item x="284"/>
        <item x="58"/>
        <item x="222"/>
        <item x="170"/>
        <item x="236"/>
        <item x="187"/>
        <item x="136"/>
        <item x="261"/>
        <item x="129"/>
        <item x="250"/>
        <item x="75"/>
        <item x="39"/>
        <item x="41"/>
        <item x="227"/>
        <item x="112"/>
        <item x="51"/>
        <item x="6"/>
        <item x="8"/>
        <item x="37"/>
        <item x="307"/>
        <item x="172"/>
        <item x="148"/>
        <item x="213"/>
        <item x="127"/>
        <item x="226"/>
        <item x="147"/>
        <item x="155"/>
        <item x="46"/>
        <item x="195"/>
        <item x="145"/>
        <item x="16"/>
        <item x="103"/>
        <item x="171"/>
        <item x="109"/>
        <item x="283"/>
        <item x="248"/>
        <item x="212"/>
        <item m="1" x="311"/>
        <item x="90"/>
        <item x="260"/>
        <item x="287"/>
        <item x="269"/>
        <item m="1" x="327"/>
        <item x="262"/>
        <item m="1" x="310"/>
        <item x="130"/>
        <item x="35"/>
        <item x="44"/>
        <item x="208"/>
        <item x="20"/>
        <item x="238"/>
        <item x="107"/>
        <item x="188"/>
        <item m="1" x="329"/>
        <item x="306"/>
        <item x="288"/>
        <item x="263"/>
        <item x="168"/>
        <item x="59"/>
        <item x="125"/>
        <item x="206"/>
        <item x="57"/>
        <item x="273"/>
        <item x="65"/>
        <item x="234"/>
        <item x="235"/>
        <item x="223"/>
        <item x="3"/>
        <item x="12"/>
        <item x="286"/>
        <item x="154"/>
        <item x="13"/>
        <item x="149"/>
        <item x="249"/>
        <item x="295"/>
        <item x="268"/>
        <item x="173"/>
        <item x="157"/>
        <item x="242"/>
        <item x="92"/>
        <item x="63"/>
        <item x="159"/>
        <item x="106"/>
        <item x="255"/>
        <item x="285"/>
        <item x="73"/>
        <item x="84"/>
        <item x="247"/>
        <item x="29"/>
        <item x="45"/>
        <item x="259"/>
        <item x="99"/>
        <item x="54"/>
        <item x="214"/>
        <item x="158"/>
        <item x="134"/>
        <item x="69"/>
        <item x="198"/>
        <item x="52"/>
        <item x="237"/>
        <item x="225"/>
        <item x="34"/>
        <item x="10"/>
        <item x="120"/>
        <item x="257"/>
        <item x="200"/>
        <item x="274"/>
        <item x="305"/>
        <item x="204"/>
        <item m="1" x="322"/>
        <item x="265"/>
        <item x="184"/>
        <item x="185"/>
        <item x="85"/>
        <item x="67"/>
        <item x="78"/>
        <item x="205"/>
        <item x="116"/>
        <item x="70"/>
        <item x="22"/>
        <item x="300"/>
        <item x="160"/>
        <item x="291"/>
        <item x="270"/>
        <item x="186"/>
        <item x="40"/>
        <item x="251"/>
        <item x="1"/>
        <item x="296"/>
        <item x="232"/>
        <item x="132"/>
        <item x="42"/>
        <item x="66"/>
        <item x="76"/>
        <item x="50"/>
        <item x="275"/>
        <item x="100"/>
        <item x="304"/>
        <item x="71"/>
        <item x="142"/>
        <item x="143"/>
        <item x="190"/>
        <item x="228"/>
        <item x="231"/>
        <item x="178"/>
        <item x="229"/>
        <item x="161"/>
        <item x="167"/>
        <item x="128"/>
        <item x="31"/>
        <item x="15"/>
        <item x="118"/>
        <item x="124"/>
        <item m="1" x="335"/>
        <item x="102"/>
        <item x="153"/>
        <item x="61"/>
        <item x="32"/>
        <item x="180"/>
        <item x="126"/>
        <item x="30"/>
        <item x="105"/>
        <item x="174"/>
        <item x="47"/>
        <item x="104"/>
        <item x="264"/>
        <item x="114"/>
        <item x="49"/>
        <item x="55"/>
        <item x="28"/>
        <item x="24"/>
        <item x="162"/>
        <item x="121"/>
        <item x="115"/>
        <item x="298"/>
        <item x="25"/>
        <item x="243"/>
        <item x="215"/>
        <item x="156"/>
        <item x="56"/>
        <item x="36"/>
        <item x="80"/>
        <item x="150"/>
        <item x="83"/>
        <item x="138"/>
        <item x="26"/>
        <item x="133"/>
        <item x="95"/>
        <item x="98"/>
        <item x="140"/>
        <item m="1" x="328"/>
        <item m="1" x="323"/>
        <item x="308"/>
        <item x="309"/>
        <item x="146"/>
        <item x="151"/>
        <item x="169"/>
        <item x="181"/>
        <item x="182"/>
        <item x="1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7"/>
    </i>
    <i>
      <x v="178"/>
    </i>
    <i>
      <x v="179"/>
    </i>
    <i>
      <x v="180"/>
    </i>
    <i>
      <x v="182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180CCBC-06F7-4341-90CE-C99BC4A6FD88}" autoFormatId="16" applyNumberFormats="0" applyBorderFormats="0" applyFontFormats="0" applyPatternFormats="0" applyAlignmentFormats="0" applyWidthHeightFormats="0">
  <queryTableRefresh nextId="40">
    <queryTableFields count="39">
      <queryTableField id="1" name="id" tableColumnId="1"/>
      <queryTableField id="2" name="faction" tableColumnId="2"/>
      <queryTableField id="3" name="techlevel" tableColumnId="3"/>
      <queryTableField id="4" name="name" tableColumnId="4"/>
      <queryTableField id="5" name="tooltip" tableColumnId="5"/>
      <queryTableField id="6" name="description" tableColumnId="6"/>
      <queryTableField id="7" name="radaricon" tableColumnId="7"/>
      <queryTableField id="8" name="height" tableColumnId="8"/>
      <queryTableField id="9" name="metalcost" tableColumnId="9"/>
      <queryTableField id="10" name="energycost" tableColumnId="10"/>
      <queryTableField id="11" name="buildtime" tableColumnId="11"/>
      <queryTableField id="12" name="metalmake" tableColumnId="12"/>
      <queryTableField id="13" name="energymake" tableColumnId="13"/>
      <queryTableField id="14" name="buildpower" tableColumnId="14"/>
      <queryTableField id="15" name="speed" tableColumnId="15"/>
      <queryTableField id="16" name="health" tableColumnId="16"/>
      <queryTableField id="38" dataBound="0" tableColumnId="38"/>
      <queryTableField id="39" dataBound="0" tableColumnId="39"/>
      <queryTableField id="17" name="amphib" tableColumnId="17"/>
      <queryTableField id="18" name="sub" tableColumnId="18"/>
      <queryTableField id="19" name="air" tableColumnId="19"/>
      <queryTableField id="20" name="hover" tableColumnId="20"/>
      <queryTableField id="21" name="ship" tableColumnId="21"/>
      <queryTableField id="22" name="tank" tableColumnId="22"/>
      <queryTableField id="23" name="bot" tableColumnId="23"/>
      <queryTableField id="24" name="building" tableColumnId="24"/>
      <queryTableField id="25" name="dps" tableColumnId="25"/>
      <queryTableField id="26" name="weaponrange" tableColumnId="26"/>
      <queryTableField id="27" name="jammerrange" tableColumnId="27"/>
      <queryTableField id="28" name="sonarrange" tableColumnId="28"/>
      <queryTableField id="29" name="radarrange" tableColumnId="29"/>
      <queryTableField id="30" name="sightrange" tableColumnId="30"/>
      <queryTableField id="31" name="airsightrange" tableColumnId="31"/>
      <queryTableField id="32" name="specials" tableColumnId="32"/>
      <queryTableField id="33" name="weapons" tableColumnId="33"/>
      <queryTableField id="34" name="buildoptions" tableColumnId="34"/>
      <queryTableField id="35" name="buildable" tableColumnId="35"/>
      <queryTableField id="36" name="file" tableColumnId="36"/>
      <queryTableField id="37" name="Column1" tableColumnId="3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963CF-AAB5-4989-898E-7869FFE2BDD4}" name="Table1" displayName="Table1" ref="A1:AL384" totalsRowShown="0" headerRowDxfId="55" dataDxfId="53" headerRowBorderDxfId="54" tableBorderDxfId="52" totalsRowBorderDxfId="51">
  <autoFilter ref="A1:AL384" xr:uid="{901963CF-AAB5-4989-898E-7869FFE2BDD4}"/>
  <tableColumns count="38">
    <tableColumn id="1" xr3:uid="{0B9B0A8C-F737-424D-8044-0D045029A397}" name="id" dataDxfId="50"/>
    <tableColumn id="2" xr3:uid="{BA98E739-E53F-4462-90DD-103B9214068C}" name="faction" dataDxfId="49"/>
    <tableColumn id="3" xr3:uid="{2403560B-9371-4862-B9BC-4E2D09662C44}" name="techlevel" dataDxfId="48"/>
    <tableColumn id="4" xr3:uid="{A783A11C-3607-48A9-8889-2B73442CFE9E}" name="name" dataDxfId="47"/>
    <tableColumn id="5" xr3:uid="{119587B9-D46D-48C8-9E65-9766F3C98EE6}" name="tooltip" dataDxfId="46"/>
    <tableColumn id="6" xr3:uid="{7B232377-E041-42A7-B7A7-8FE78919DAAB}" name="description" dataDxfId="45"/>
    <tableColumn id="7" xr3:uid="{CEBCC2F3-58F0-492D-B206-1ED2CB371C21}" name="radaricon" dataDxfId="44"/>
    <tableColumn id="8" xr3:uid="{E1B8FF66-08F6-4CC7-8650-04C039DEA96A}" name="height" dataDxfId="43"/>
    <tableColumn id="9" xr3:uid="{0A0AE0F4-464B-48BD-BB3A-7CF97A337E16}" name="metalcost" dataDxfId="42"/>
    <tableColumn id="10" xr3:uid="{43C99275-F93E-4447-B83F-0B0E043BE062}" name="energycost" dataDxfId="41"/>
    <tableColumn id="11" xr3:uid="{04C03EED-CA41-44FA-9924-37CB3A0FF36B}" name="buildtime" dataDxfId="40"/>
    <tableColumn id="12" xr3:uid="{EF72CA02-B346-42DC-A6A3-7B790C7CF7C8}" name="metalmake" dataDxfId="39"/>
    <tableColumn id="13" xr3:uid="{38794A6B-BF39-4222-BA3A-15C56334720B}" name="energymake" dataDxfId="38"/>
    <tableColumn id="14" xr3:uid="{759AAAED-748B-4CAE-848C-63525A70869F}" name="buildpower" dataDxfId="37"/>
    <tableColumn id="15" xr3:uid="{4F61650D-84AA-498D-901F-249A5CB86DEB}" name="speed" dataDxfId="36"/>
    <tableColumn id="16" xr3:uid="{729B9D05-900A-4FA9-B35D-EEF39312F9E6}" name="health" dataDxfId="35"/>
    <tableColumn id="17" xr3:uid="{6A545B5A-607C-4062-96DF-874D2E90E060}" name="Health/Metal" dataDxfId="34"/>
    <tableColumn id="18" xr3:uid="{B8672105-6A7D-4BD5-A96C-FFDBE8A955BB}" name="amphib" dataDxfId="33"/>
    <tableColumn id="19" xr3:uid="{B9EE02B8-05DD-4E37-9F31-E79AC6802872}" name="sub" dataDxfId="32"/>
    <tableColumn id="20" xr3:uid="{EACE8CD6-42B4-4598-B359-2EE8B5CD2B9E}" name="air" dataDxfId="31"/>
    <tableColumn id="21" xr3:uid="{4B326D23-C7CB-42AB-9410-34853F9685D7}" name="hover" dataDxfId="30"/>
    <tableColumn id="22" xr3:uid="{E7FC59BD-D4B1-4AB5-B07A-DA4C37897631}" name="ship" dataDxfId="29"/>
    <tableColumn id="23" xr3:uid="{CDE3F53D-4709-4633-A0CD-1FDD76CE1AE7}" name="tank" dataDxfId="28"/>
    <tableColumn id="24" xr3:uid="{1B8EA585-9547-414B-B601-42A4DDB9A967}" name="bot" dataDxfId="27"/>
    <tableColumn id="25" xr3:uid="{067DE7B8-6E70-493A-8EFF-9737765E9D39}" name="building" dataDxfId="26"/>
    <tableColumn id="26" xr3:uid="{4A778AE2-DAD5-442E-A527-BA1813CF959A}" name="dps" dataDxfId="25"/>
    <tableColumn id="27" xr3:uid="{0AF2B5E9-C27A-4351-B158-4EBE89D592AC}" name="weaponrange" dataDxfId="24"/>
    <tableColumn id="28" xr3:uid="{AA4C9FCF-4ADE-4CDD-8A73-C98EE8036C82}" name="jammerrange" dataDxfId="23"/>
    <tableColumn id="29" xr3:uid="{309921D2-F416-428A-BB70-6E5E88E14DA9}" name="sonarrange" dataDxfId="22"/>
    <tableColumn id="30" xr3:uid="{6C25878F-E5A2-45AE-AFD0-DC1541891826}" name="radarrange" dataDxfId="21"/>
    <tableColumn id="31" xr3:uid="{8B63A0A5-6158-49E7-A708-AE86763F1DFE}" name="sightrange" dataDxfId="20"/>
    <tableColumn id="32" xr3:uid="{3CE2B587-9184-435D-A960-3962899658F4}" name="airsightrange" dataDxfId="19"/>
    <tableColumn id="33" xr3:uid="{12046FC9-1B4B-400A-90A0-3C7940C0118B}" name="specials" dataDxfId="18"/>
    <tableColumn id="34" xr3:uid="{AB833A9E-2A6F-4978-A80D-392D1BB0E683}" name="weapons" dataDxfId="17"/>
    <tableColumn id="35" xr3:uid="{8BA2647E-57D7-4148-B58B-A5CF51B943CA}" name="buildoptions" dataDxfId="16"/>
    <tableColumn id="36" xr3:uid="{59F9C901-B337-4D52-A13C-CDB39D8E6EFC}" name="buildable" dataDxfId="15"/>
    <tableColumn id="37" xr3:uid="{BD3BA7BA-DC9E-42F2-A4CC-367E65CAC583}" name="file" dataDxfId="14"/>
    <tableColumn id="38" xr3:uid="{6A211760-AD0A-4C86-83E9-B4D7C7DE9340}" name="Column1" dataDxfId="13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09874D-107B-443D-B0D8-CB06297FE2D9}" name="unitlist3" displayName="unitlist3" ref="A1:AM382" tableType="queryTable" totalsRowShown="0">
  <autoFilter ref="A1:AM382" xr:uid="{7F09874D-107B-443D-B0D8-CB06297FE2D9}">
    <filterColumn colId="20">
      <filters blank="1"/>
    </filterColumn>
    <filterColumn colId="22">
      <filters blank="1"/>
    </filterColumn>
    <filterColumn colId="25">
      <filters blank="1"/>
    </filterColumn>
  </autoFilter>
  <sortState xmlns:xlrd2="http://schemas.microsoft.com/office/spreadsheetml/2017/richdata2" ref="A2:AM382">
    <sortCondition descending="1" ref="R1:R382"/>
  </sortState>
  <tableColumns count="39">
    <tableColumn id="1" xr3:uid="{146E686E-6DA2-4BEC-A4F2-F91A30AC7D45}" uniqueName="1" name="id" queryTableFieldId="1" dataDxfId="12"/>
    <tableColumn id="2" xr3:uid="{CB07A572-D796-47A4-82EC-D57174E961C5}" uniqueName="2" name="faction" queryTableFieldId="2" dataDxfId="11"/>
    <tableColumn id="3" xr3:uid="{DE62D48E-5ED3-4861-ADC1-5426D98A34F1}" uniqueName="3" name="techlevel" queryTableFieldId="3"/>
    <tableColumn id="4" xr3:uid="{19A483C3-97A5-4769-9D91-C9A29AC49007}" uniqueName="4" name="name" queryTableFieldId="4" dataDxfId="10"/>
    <tableColumn id="5" xr3:uid="{55E07302-D950-4039-B4A7-A67CA3224D8F}" uniqueName="5" name="tooltip" queryTableFieldId="5" dataDxfId="9"/>
    <tableColumn id="6" xr3:uid="{9CE4C055-D0E5-4C8C-943D-CB61712D287E}" uniqueName="6" name="description" queryTableFieldId="6" dataDxfId="8"/>
    <tableColumn id="7" xr3:uid="{92D68D9D-CC0E-4FEA-8D25-046C745A5797}" uniqueName="7" name="radaricon" queryTableFieldId="7" dataDxfId="7"/>
    <tableColumn id="8" xr3:uid="{A46A2C08-A1A7-44D1-9E68-A000790A17D4}" uniqueName="8" name="height" queryTableFieldId="8"/>
    <tableColumn id="9" xr3:uid="{B86F7382-1F45-43CC-A8D3-9B2565133D28}" uniqueName="9" name="metalcost" queryTableFieldId="9"/>
    <tableColumn id="10" xr3:uid="{11C366CF-FFB2-4ABA-81D1-00244203293B}" uniqueName="10" name="energycost" queryTableFieldId="10"/>
    <tableColumn id="11" xr3:uid="{563DF8FE-FFD3-4C4B-BE9B-6AA40302E42D}" uniqueName="11" name="buildtime" queryTableFieldId="11"/>
    <tableColumn id="12" xr3:uid="{8659AEC2-8B13-460E-95B1-84BE0560E2EC}" uniqueName="12" name="metalmake" queryTableFieldId="12"/>
    <tableColumn id="13" xr3:uid="{5B6C69CD-C7DC-41E7-B571-ED78088A51F7}" uniqueName="13" name="energymake" queryTableFieldId="13"/>
    <tableColumn id="14" xr3:uid="{0E104BE3-AA0F-4962-BAA9-F7E7A684BD63}" uniqueName="14" name="buildpower" queryTableFieldId="14"/>
    <tableColumn id="15" xr3:uid="{F11910D1-DA14-481A-9DC7-171872AFF6C0}" uniqueName="15" name="speed" queryTableFieldId="15"/>
    <tableColumn id="16" xr3:uid="{3E749B40-093B-462C-B4E3-42730E68F9B8}" uniqueName="16" name="health" queryTableFieldId="16"/>
    <tableColumn id="38" xr3:uid="{57848616-2A17-46D6-BD63-CC82F322DAF3}" uniqueName="38" name="Health:Buildtime" queryTableFieldId="38" dataDxfId="6">
      <calculatedColumnFormula>unitlist3[[#This Row],[health]]/unitlist3[[#This Row],[buildtime]]</calculatedColumnFormula>
    </tableColumn>
    <tableColumn id="39" xr3:uid="{4F3EE478-9330-4D55-B78D-9E921F7B26C9}" uniqueName="39" name="DPS:Metal" queryTableFieldId="39" dataDxfId="5">
      <calculatedColumnFormula>unitlist3[[#This Row],[dps]]/unitlist3[[#This Row],[metalcost]]</calculatedColumnFormula>
    </tableColumn>
    <tableColumn id="17" xr3:uid="{72B6056B-3AF9-4A98-8DAD-10581085E314}" uniqueName="17" name="amphib" queryTableFieldId="17"/>
    <tableColumn id="18" xr3:uid="{8267CC32-238D-4BEC-82B4-C795E6CA11AA}" uniqueName="18" name="sub" queryTableFieldId="18"/>
    <tableColumn id="19" xr3:uid="{59BFF045-91B4-49B2-924C-8DDF31A732DB}" uniqueName="19" name="air" queryTableFieldId="19"/>
    <tableColumn id="20" xr3:uid="{0EDCEDAA-25BC-44F7-BB4B-9989497544A0}" uniqueName="20" name="hover" queryTableFieldId="20"/>
    <tableColumn id="21" xr3:uid="{ECFBD1FB-C0D2-4077-9CE1-7ECF64CFE785}" uniqueName="21" name="ship" queryTableFieldId="21"/>
    <tableColumn id="22" xr3:uid="{01C1C8F9-29FC-4E2B-82CC-1D2B94551534}" uniqueName="22" name="tank" queryTableFieldId="22"/>
    <tableColumn id="23" xr3:uid="{1A8D9563-8D07-44B3-A511-50F68B0B409E}" uniqueName="23" name="bot" queryTableFieldId="23"/>
    <tableColumn id="24" xr3:uid="{261518B4-B6F8-41E7-AF7F-51F8F8C3FA5A}" uniqueName="24" name="building" queryTableFieldId="24"/>
    <tableColumn id="25" xr3:uid="{8844A218-1002-44A3-B288-EAC03CEB95A7}" uniqueName="25" name="dps" queryTableFieldId="25"/>
    <tableColumn id="26" xr3:uid="{F48812CB-CD75-4E00-A9D7-22C72B253077}" uniqueName="26" name="weaponrange" queryTableFieldId="26"/>
    <tableColumn id="27" xr3:uid="{9C68AC06-C715-4D73-830B-F7470A037031}" uniqueName="27" name="jammerrange" queryTableFieldId="27"/>
    <tableColumn id="28" xr3:uid="{D111DBF9-8A11-4C3F-9576-7798F3E971C6}" uniqueName="28" name="sonarrange" queryTableFieldId="28"/>
    <tableColumn id="29" xr3:uid="{FCD755FF-1CE9-4D6E-841F-191A41C92537}" uniqueName="29" name="radarrange" queryTableFieldId="29"/>
    <tableColumn id="30" xr3:uid="{BE475D20-234F-403E-B26B-16AD4096E853}" uniqueName="30" name="sightrange" queryTableFieldId="30"/>
    <tableColumn id="31" xr3:uid="{6B0F7DA3-7FAA-4815-AC7C-971E272FBE6A}" uniqueName="31" name="airsightrange" queryTableFieldId="31"/>
    <tableColumn id="32" xr3:uid="{956F6C77-B1E8-4C44-AC5B-66D469F1A7DE}" uniqueName="32" name="specials" queryTableFieldId="32" dataDxfId="4"/>
    <tableColumn id="33" xr3:uid="{0150E79E-9E2C-4640-8446-42D742A82A10}" uniqueName="33" name="weapons" queryTableFieldId="33" dataDxfId="3"/>
    <tableColumn id="34" xr3:uid="{BEECE5D5-D562-400B-BD31-A1890E6B34B3}" uniqueName="34" name="buildoptions" queryTableFieldId="34" dataDxfId="2"/>
    <tableColumn id="35" xr3:uid="{C7A5E4DD-077D-4E89-B524-EE020E78685C}" uniqueName="35" name="buildable" queryTableFieldId="35"/>
    <tableColumn id="36" xr3:uid="{9C4B718D-566F-4957-B973-63609CD1EE65}" uniqueName="36" name="file" queryTableFieldId="36" dataDxfId="1"/>
    <tableColumn id="37" xr3:uid="{54F489E8-B3F3-4658-B451-4D8C4E88B849}" uniqueName="37" name="Column1" queryTableFieldId="37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E2D2-23C5-477C-AE60-5571E57E853A}">
  <sheetPr codeName="Sheet1"/>
  <dimension ref="B2:T41"/>
  <sheetViews>
    <sheetView tabSelected="1" workbookViewId="0">
      <selection activeCell="N27" sqref="N27"/>
    </sheetView>
  </sheetViews>
  <sheetFormatPr defaultRowHeight="14.25"/>
  <cols>
    <col min="2" max="2" width="16" customWidth="1"/>
    <col min="3" max="3" width="32" customWidth="1"/>
    <col min="4" max="4" width="13" customWidth="1"/>
    <col min="5" max="5" width="18.625" customWidth="1"/>
    <col min="6" max="6" width="17.625" bestFit="1" customWidth="1"/>
  </cols>
  <sheetData>
    <row r="2" spans="2:13">
      <c r="B2" s="8"/>
      <c r="C2" s="10" t="s">
        <v>1238</v>
      </c>
      <c r="D2" s="8" t="s">
        <v>1242</v>
      </c>
      <c r="E2" s="8" t="s">
        <v>1243</v>
      </c>
      <c r="F2" s="8" t="s">
        <v>1265</v>
      </c>
    </row>
    <row r="3" spans="2:13" ht="15">
      <c r="B3" s="7" t="s">
        <v>1241</v>
      </c>
      <c r="C3" s="4" t="str">
        <f>QUOTIENT(buildPowerCostPerItem/buildPowerPerItem,60) &amp; " minutes, " &amp; ROUNDUP(MOD(buildPowerCostPerItem/buildPowerPerItem,60),2) &amp; " seconds"</f>
        <v>0 minutes, 3.37 seconds</v>
      </c>
      <c r="D3">
        <f>(metalCost-givenMetal)/(buildPowerCostPerItem/buildPowerPerItem)</f>
        <v>10.6875</v>
      </c>
      <c r="E3">
        <f>energyCost/(buildPowerCostPerItem/buildPowerPerItem)</f>
        <v>261.25</v>
      </c>
    </row>
    <row r="4" spans="2:13" ht="15">
      <c r="B4" s="7" t="s">
        <v>1264</v>
      </c>
      <c r="C4" s="4" t="str">
        <f>IF(givenMetalPerSec&gt;0,QUOTIENT((metalCost-givenMetal)/givenMetalPerSec,60) &amp; " minutes, " &amp; ROUNDUP(MOD((metalCost-givenMetal)/givenMetalPerSec,60),0) &amp; " seconds","No given metal")</f>
        <v>0 minutes, 1 seconds</v>
      </c>
      <c r="D4">
        <f>IF(givenMetalPerSec&gt;0,givenMetalPerSec,"")</f>
        <v>38</v>
      </c>
      <c r="E4">
        <f>IF(givenMetalPerSec&gt;0,energyCost/((metalCost-givenMetal)/givenMetalPerSec),"")</f>
        <v>928.88888888888891</v>
      </c>
      <c r="F4" s="13">
        <f>buildPowerCost/((metalCost-givenMetal)/givenMetalPerSec)/$F$25</f>
        <v>6.7555555555555555</v>
      </c>
    </row>
    <row r="5" spans="2:13" ht="15">
      <c r="B5" s="7" t="s">
        <v>1263</v>
      </c>
      <c r="C5" s="4" t="str">
        <f>IF(givenEnergyPerSec&gt;0,QUOTIENT(energyCost/givenEnergyPerSec,60) &amp; " minutes, " &amp; ROUNDUP(MOD(energyCost/givenEnergyPerSec,60),0) &amp; " seconds","No given energy")</f>
        <v>0 minutes, 3 seconds</v>
      </c>
      <c r="D5">
        <f>IF(givenEnergyPerSec&gt;0,metalCost/(energyCost/givenEnergyPerSec),"")</f>
        <v>12.272727272727273</v>
      </c>
      <c r="E5">
        <f>IF(givenEnergyPerSec&gt;0,givenEnergyPerSec,"")</f>
        <v>300</v>
      </c>
      <c r="F5" s="13">
        <f>buildPowerCost/(energyCost/givenEnergyPerSec)/$F$25</f>
        <v>2.1818181818181817</v>
      </c>
    </row>
    <row r="7" spans="2:13">
      <c r="B7" s="8"/>
      <c r="C7" s="10" t="s">
        <v>1232</v>
      </c>
      <c r="D7" s="8" t="s">
        <v>1235</v>
      </c>
      <c r="E7" s="8" t="s">
        <v>1236</v>
      </c>
      <c r="F7" s="8" t="s">
        <v>1237</v>
      </c>
      <c r="G7" s="8" t="s">
        <v>1253</v>
      </c>
    </row>
    <row r="8" spans="2:13" ht="15">
      <c r="B8" s="7" t="s">
        <v>1230</v>
      </c>
      <c r="C8" s="6" t="s">
        <v>825</v>
      </c>
      <c r="D8">
        <f>INDEX(unitlist,MATCH($C8,Table1[name],0),9)</f>
        <v>36</v>
      </c>
      <c r="E8">
        <f>INDEX(unitlist,MATCH($C8,Table1[name],0),10)</f>
        <v>880</v>
      </c>
      <c r="F8">
        <f>INDEX(unitlist,MATCH($C8,Table1[name],0),11)</f>
        <v>1280</v>
      </c>
      <c r="G8">
        <v>1</v>
      </c>
    </row>
    <row r="9" spans="2:13">
      <c r="C9" t="s">
        <v>1239</v>
      </c>
      <c r="D9">
        <f>INDEX(unitlist,MATCH($C8,Table1[name],0),9)*quantity</f>
        <v>36</v>
      </c>
      <c r="E9">
        <f>INDEX(unitlist,MATCH($C8,Table1[name],0),10)*quantity</f>
        <v>880</v>
      </c>
      <c r="F9">
        <f>INDEX(unitlist,MATCH($C8,Table1[name],0),11)*quantity</f>
        <v>1280</v>
      </c>
    </row>
    <row r="11" spans="2:13" ht="15">
      <c r="B11" s="12" t="s">
        <v>1262</v>
      </c>
      <c r="C11" s="8" t="s">
        <v>1242</v>
      </c>
      <c r="D11" s="8" t="s">
        <v>1243</v>
      </c>
      <c r="E11" s="8"/>
      <c r="L11" t="s">
        <v>1676</v>
      </c>
      <c r="M11" t="s">
        <v>1677</v>
      </c>
    </row>
    <row r="12" spans="2:13" ht="15">
      <c r="B12" s="7"/>
      <c r="C12">
        <f>25+13</f>
        <v>38</v>
      </c>
      <c r="D12">
        <v>300</v>
      </c>
      <c r="J12" t="s">
        <v>1673</v>
      </c>
      <c r="K12" t="s">
        <v>1675</v>
      </c>
      <c r="L12">
        <v>150</v>
      </c>
      <c r="M12">
        <v>1500</v>
      </c>
    </row>
    <row r="13" spans="2:13">
      <c r="J13" t="s">
        <v>1678</v>
      </c>
      <c r="K13" t="s">
        <v>1679</v>
      </c>
      <c r="L13">
        <v>296</v>
      </c>
      <c r="M13">
        <v>1400</v>
      </c>
    </row>
    <row r="16" spans="2:13">
      <c r="B16" s="8"/>
      <c r="C16" s="8"/>
      <c r="D16" s="8"/>
      <c r="E16" s="8"/>
    </row>
    <row r="17" spans="2:20" ht="15">
      <c r="B17" s="7" t="s">
        <v>1252</v>
      </c>
      <c r="C17">
        <v>0</v>
      </c>
      <c r="J17">
        <f>300/16</f>
        <v>18.75</v>
      </c>
      <c r="K17" t="s">
        <v>1674</v>
      </c>
      <c r="T17">
        <f>300 / 20</f>
        <v>15</v>
      </c>
    </row>
    <row r="18" spans="2:20">
      <c r="T18">
        <f>T17*200</f>
        <v>3000</v>
      </c>
    </row>
    <row r="19" spans="2:20">
      <c r="M19" t="s">
        <v>1256</v>
      </c>
      <c r="N19" t="s">
        <v>1257</v>
      </c>
      <c r="O19" t="s">
        <v>1258</v>
      </c>
    </row>
    <row r="20" spans="2:20" ht="15">
      <c r="B20" s="7" t="s">
        <v>1231</v>
      </c>
      <c r="C20" s="10" t="s">
        <v>1232</v>
      </c>
      <c r="D20" s="10" t="s">
        <v>1234</v>
      </c>
      <c r="E20" s="10" t="s">
        <v>1240</v>
      </c>
      <c r="F20" s="10" t="s">
        <v>1233</v>
      </c>
      <c r="L20" t="s">
        <v>1255</v>
      </c>
      <c r="M20" s="11">
        <v>1.4583333333333333</v>
      </c>
      <c r="N20">
        <v>290</v>
      </c>
      <c r="O20">
        <v>15000</v>
      </c>
      <c r="T20">
        <f>300/16</f>
        <v>18.75</v>
      </c>
    </row>
    <row r="21" spans="2:20">
      <c r="B21" s="8"/>
      <c r="C21" s="6" t="s">
        <v>215</v>
      </c>
      <c r="D21">
        <v>0</v>
      </c>
      <c r="E21">
        <f>D21*F21</f>
        <v>0</v>
      </c>
      <c r="F21">
        <f>IF(ISERROR(INDEX(#REF!,MATCH($C21,#REF!,0),14)),0,INDEX(#REF!,MATCH($C21,#REF!,0),14))</f>
        <v>60</v>
      </c>
      <c r="L21" t="s">
        <v>1259</v>
      </c>
      <c r="M21" s="11">
        <v>1.5416666666666667</v>
      </c>
      <c r="N21">
        <v>350</v>
      </c>
      <c r="O21">
        <v>25</v>
      </c>
      <c r="T21">
        <f>T20*37</f>
        <v>693.75</v>
      </c>
    </row>
    <row r="22" spans="2:20">
      <c r="B22" s="8"/>
      <c r="C22" s="6" t="s">
        <v>939</v>
      </c>
      <c r="D22">
        <v>0</v>
      </c>
      <c r="E22">
        <f t="shared" ref="E22:E29" si="0">D22*F22</f>
        <v>0</v>
      </c>
      <c r="F22">
        <f>IF(ISERROR(INDEX(#REF!,MATCH($C22,#REF!,0),14)),0,INDEX(#REF!,MATCH($C22,#REF!,0),14))</f>
        <v>125</v>
      </c>
    </row>
    <row r="23" spans="2:20">
      <c r="B23" s="23" t="s">
        <v>243</v>
      </c>
      <c r="C23" s="6" t="s">
        <v>886</v>
      </c>
      <c r="D23">
        <v>1</v>
      </c>
      <c r="E23">
        <f t="shared" si="0"/>
        <v>300</v>
      </c>
      <c r="F23">
        <f>IF(ISERROR(INDEX(#REF!,MATCH($C23,#REF!,0),14)),0,INDEX(#REF!,MATCH($C23,#REF!,0),14))</f>
        <v>300</v>
      </c>
    </row>
    <row r="24" spans="2:20" ht="15">
      <c r="B24" s="9"/>
      <c r="C24" s="6" t="s">
        <v>228</v>
      </c>
      <c r="D24">
        <v>1</v>
      </c>
      <c r="E24">
        <f t="shared" si="0"/>
        <v>80</v>
      </c>
      <c r="F24">
        <f>IF(ISERROR(INDEX(#REF!,MATCH($C24,#REF!,0),14)),0,INDEX(#REF!,MATCH($C24,#REF!,0),14))</f>
        <v>80</v>
      </c>
    </row>
    <row r="25" spans="2:20">
      <c r="B25" s="8"/>
      <c r="C25" s="6" t="s">
        <v>561</v>
      </c>
      <c r="D25">
        <v>0</v>
      </c>
      <c r="E25">
        <f t="shared" si="0"/>
        <v>0</v>
      </c>
      <c r="F25">
        <f>IF(ISERROR(INDEX(#REF!,MATCH($C25,#REF!,0),14)),0,INDEX(#REF!,MATCH($C25,#REF!,0),14))</f>
        <v>200</v>
      </c>
    </row>
    <row r="26" spans="2:20">
      <c r="B26" s="8" t="s">
        <v>1260</v>
      </c>
      <c r="C26" s="6" t="s">
        <v>461</v>
      </c>
      <c r="D26">
        <v>0</v>
      </c>
      <c r="E26">
        <f t="shared" si="0"/>
        <v>0</v>
      </c>
      <c r="F26">
        <f>IF(ISERROR(INDEX(#REF!,MATCH($C26,#REF!,0),14)),0,INDEX(#REF!,MATCH($C26,#REF!,0),14))</f>
        <v>100</v>
      </c>
      <c r="K26">
        <f>1400 / 47</f>
        <v>29.787234042553191</v>
      </c>
    </row>
    <row r="27" spans="2:20">
      <c r="B27" s="8" t="s">
        <v>1260</v>
      </c>
      <c r="C27" s="6" t="s">
        <v>674</v>
      </c>
      <c r="D27">
        <v>0</v>
      </c>
      <c r="E27">
        <f t="shared" si="0"/>
        <v>0</v>
      </c>
      <c r="F27">
        <f>IF(ISERROR(INDEX(#REF!,MATCH($C27,#REF!,0),14)),0,INDEX(#REF!,MATCH($C27,#REF!,0),14))</f>
        <v>600</v>
      </c>
    </row>
    <row r="28" spans="2:20">
      <c r="B28" s="8"/>
      <c r="C28" s="6" t="s">
        <v>939</v>
      </c>
      <c r="D28">
        <v>0</v>
      </c>
      <c r="E28">
        <f t="shared" si="0"/>
        <v>0</v>
      </c>
      <c r="F28">
        <f>IF(ISERROR(INDEX(#REF!,MATCH($C28,#REF!,0),14)),0,INDEX(#REF!,MATCH($C28,#REF!,0),14))</f>
        <v>125</v>
      </c>
    </row>
    <row r="29" spans="2:20">
      <c r="B29" s="8"/>
      <c r="C29" s="6"/>
      <c r="D29">
        <v>0</v>
      </c>
      <c r="E29">
        <f t="shared" si="0"/>
        <v>0</v>
      </c>
      <c r="F29">
        <f>IF(ISERROR(INDEX(#REF!,MATCH($C29,#REF!,0),14)),0,INDEX(#REF!,MATCH($C29,#REF!,0),14))</f>
        <v>0</v>
      </c>
    </row>
    <row r="30" spans="2:20">
      <c r="C30" s="3" t="s">
        <v>1240</v>
      </c>
      <c r="E30">
        <f>SUM(E21:E29)</f>
        <v>380</v>
      </c>
    </row>
    <row r="31" spans="2:20">
      <c r="C31" s="3" t="s">
        <v>1254</v>
      </c>
      <c r="E31">
        <f>totalBuildPower/quantity</f>
        <v>380</v>
      </c>
    </row>
    <row r="36" spans="8:14">
      <c r="H36" t="s">
        <v>1246</v>
      </c>
      <c r="I36" t="s">
        <v>1247</v>
      </c>
      <c r="J36" t="s">
        <v>1248</v>
      </c>
    </row>
    <row r="37" spans="8:14">
      <c r="H37">
        <v>1</v>
      </c>
      <c r="I37">
        <v>5</v>
      </c>
      <c r="J37">
        <f>10*I37*H37</f>
        <v>50</v>
      </c>
    </row>
    <row r="39" spans="8:14">
      <c r="H39" t="s">
        <v>1249</v>
      </c>
      <c r="I39" t="s">
        <v>1250</v>
      </c>
      <c r="J39" t="s">
        <v>1251</v>
      </c>
      <c r="N39">
        <f>1.8*3*6</f>
        <v>32.400000000000006</v>
      </c>
    </row>
    <row r="40" spans="8:14">
      <c r="H40">
        <v>6</v>
      </c>
      <c r="I40">
        <v>1.8</v>
      </c>
      <c r="J40">
        <f>H40*I40*4</f>
        <v>43.2</v>
      </c>
      <c r="N40">
        <v>33</v>
      </c>
    </row>
    <row r="41" spans="8:14">
      <c r="J41">
        <f>J40*2</f>
        <v>86.4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6E4223-E804-4426-9C8D-23692B0A1948}">
          <x14:formula1>
            <xm:f>helper!$B$3:$B$410</xm:f>
          </x14:formula1>
          <xm:sqref>C21:C29 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D9E5-1E0B-44A2-9979-FDABD34462B7}">
  <sheetPr codeName="Sheet2"/>
  <dimension ref="A1:AL384"/>
  <sheetViews>
    <sheetView zoomScale="85" zoomScaleNormal="85" workbookViewId="0"/>
  </sheetViews>
  <sheetFormatPr defaultRowHeight="14.25"/>
  <cols>
    <col min="1" max="1" width="12.625" bestFit="1" customWidth="1"/>
    <col min="2" max="2" width="8.375" bestFit="1" customWidth="1"/>
    <col min="3" max="3" width="10.25" bestFit="1" customWidth="1"/>
    <col min="4" max="4" width="29.125" bestFit="1" customWidth="1"/>
    <col min="5" max="5" width="52.625" bestFit="1" customWidth="1"/>
    <col min="6" max="6" width="12.25" customWidth="1"/>
    <col min="7" max="7" width="22.625" bestFit="1" customWidth="1"/>
    <col min="8" max="8" width="8" customWidth="1"/>
    <col min="9" max="9" width="11.125" customWidth="1"/>
    <col min="10" max="10" width="12.25" customWidth="1"/>
    <col min="11" max="11" width="10.375" bestFit="1" customWidth="1"/>
    <col min="12" max="12" width="12.25" customWidth="1"/>
    <col min="13" max="13" width="13.25" customWidth="1"/>
    <col min="14" max="14" width="12" customWidth="1"/>
    <col min="15" max="16" width="8" customWidth="1"/>
    <col min="17" max="17" width="13.125" bestFit="1" customWidth="1"/>
    <col min="18" max="18" width="9" customWidth="1"/>
    <col min="19" max="19" width="6" bestFit="1" customWidth="1"/>
    <col min="20" max="20" width="5.25" bestFit="1" customWidth="1"/>
    <col min="21" max="21" width="7.375" customWidth="1"/>
    <col min="22" max="22" width="6.375" bestFit="1" customWidth="1"/>
    <col min="23" max="23" width="6.625" bestFit="1" customWidth="1"/>
    <col min="24" max="24" width="5.75" bestFit="1" customWidth="1"/>
    <col min="25" max="25" width="9.25" bestFit="1" customWidth="1"/>
    <col min="26" max="26" width="7.125" bestFit="1" customWidth="1"/>
    <col min="27" max="27" width="14.25" customWidth="1"/>
    <col min="28" max="28" width="14.125" customWidth="1"/>
    <col min="29" max="29" width="12.375" customWidth="1"/>
    <col min="30" max="30" width="12.25" customWidth="1"/>
    <col min="31" max="31" width="11.75" customWidth="1"/>
    <col min="32" max="32" width="14" customWidth="1"/>
    <col min="33" max="33" width="23.625" bestFit="1" customWidth="1"/>
    <col min="34" max="34" width="53.75" bestFit="1" customWidth="1"/>
    <col min="35" max="35" width="81" bestFit="1" customWidth="1"/>
    <col min="36" max="36" width="10.25" bestFit="1" customWidth="1"/>
    <col min="37" max="37" width="44" bestFit="1" customWidth="1"/>
    <col min="38" max="38" width="10.125" customWidth="1"/>
  </cols>
  <sheetData>
    <row r="1" spans="1:38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1261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6" t="s">
        <v>36</v>
      </c>
    </row>
    <row r="2" spans="1:38">
      <c r="A2" s="17" t="s">
        <v>292</v>
      </c>
      <c r="B2" s="18" t="s">
        <v>38</v>
      </c>
      <c r="C2" s="18">
        <v>1</v>
      </c>
      <c r="D2" s="18" t="s">
        <v>293</v>
      </c>
      <c r="E2" s="18" t="s">
        <v>294</v>
      </c>
      <c r="F2" s="18" t="s">
        <v>41</v>
      </c>
      <c r="G2" s="18" t="s">
        <v>238</v>
      </c>
      <c r="H2" s="18">
        <v>18</v>
      </c>
      <c r="I2" s="18">
        <v>8</v>
      </c>
      <c r="J2" s="18">
        <v>0</v>
      </c>
      <c r="K2" s="18">
        <v>255</v>
      </c>
      <c r="L2" s="18">
        <v>0</v>
      </c>
      <c r="M2" s="18">
        <v>0</v>
      </c>
      <c r="N2" s="18">
        <v>0</v>
      </c>
      <c r="O2" s="18">
        <v>0</v>
      </c>
      <c r="P2" s="18">
        <v>2800</v>
      </c>
      <c r="Q2" s="18">
        <f>#REF!/#REF!</f>
        <v>350</v>
      </c>
      <c r="R2" s="18"/>
      <c r="S2" s="18"/>
      <c r="T2" s="18"/>
      <c r="U2" s="18"/>
      <c r="V2" s="18"/>
      <c r="W2" s="18"/>
      <c r="X2" s="18"/>
      <c r="Y2" s="18">
        <v>1</v>
      </c>
      <c r="Z2" s="18">
        <v>0</v>
      </c>
      <c r="AA2" s="18">
        <v>0</v>
      </c>
      <c r="AB2" s="18"/>
      <c r="AC2" s="18"/>
      <c r="AD2" s="18"/>
      <c r="AE2" s="18">
        <v>1</v>
      </c>
      <c r="AF2" s="18">
        <v>2</v>
      </c>
      <c r="AG2" s="18" t="s">
        <v>41</v>
      </c>
      <c r="AH2" s="18" t="s">
        <v>41</v>
      </c>
      <c r="AI2" s="18" t="s">
        <v>41</v>
      </c>
      <c r="AJ2" s="18">
        <v>1</v>
      </c>
      <c r="AK2" s="18" t="s">
        <v>1332</v>
      </c>
      <c r="AL2" s="19" t="s">
        <v>41</v>
      </c>
    </row>
    <row r="3" spans="1:38">
      <c r="A3" s="17" t="s">
        <v>921</v>
      </c>
      <c r="B3" s="18" t="s">
        <v>806</v>
      </c>
      <c r="C3" s="18">
        <v>1</v>
      </c>
      <c r="D3" s="18" t="s">
        <v>293</v>
      </c>
      <c r="E3" s="18" t="s">
        <v>294</v>
      </c>
      <c r="F3" s="18" t="s">
        <v>41</v>
      </c>
      <c r="G3" s="18" t="s">
        <v>238</v>
      </c>
      <c r="H3" s="18">
        <v>10</v>
      </c>
      <c r="I3" s="18">
        <v>8</v>
      </c>
      <c r="J3" s="18">
        <v>0</v>
      </c>
      <c r="K3" s="18">
        <v>255</v>
      </c>
      <c r="L3" s="18">
        <v>0</v>
      </c>
      <c r="M3" s="18">
        <v>0</v>
      </c>
      <c r="N3" s="18">
        <v>0</v>
      </c>
      <c r="O3" s="18">
        <v>0</v>
      </c>
      <c r="P3" s="18">
        <v>2800</v>
      </c>
      <c r="Q3" s="18">
        <f>#REF!/#REF!</f>
        <v>350</v>
      </c>
      <c r="R3" s="18"/>
      <c r="S3" s="18"/>
      <c r="T3" s="18"/>
      <c r="U3" s="18"/>
      <c r="V3" s="18"/>
      <c r="W3" s="18"/>
      <c r="X3" s="18"/>
      <c r="Y3" s="18">
        <v>1</v>
      </c>
      <c r="Z3" s="18">
        <v>0</v>
      </c>
      <c r="AA3" s="18">
        <v>0</v>
      </c>
      <c r="AB3" s="18"/>
      <c r="AC3" s="18"/>
      <c r="AD3" s="18"/>
      <c r="AE3" s="18">
        <v>1</v>
      </c>
      <c r="AF3" s="18">
        <v>2</v>
      </c>
      <c r="AG3" s="18" t="s">
        <v>41</v>
      </c>
      <c r="AH3" s="18" t="s">
        <v>41</v>
      </c>
      <c r="AI3" s="18" t="s">
        <v>41</v>
      </c>
      <c r="AJ3" s="18">
        <v>1</v>
      </c>
      <c r="AK3" s="18" t="s">
        <v>1523</v>
      </c>
      <c r="AL3" s="19" t="s">
        <v>41</v>
      </c>
    </row>
    <row r="4" spans="1:38">
      <c r="A4" s="17" t="s">
        <v>335</v>
      </c>
      <c r="B4" s="18" t="s">
        <v>38</v>
      </c>
      <c r="C4" s="18">
        <v>1</v>
      </c>
      <c r="D4" s="18" t="s">
        <v>336</v>
      </c>
      <c r="E4" s="18" t="s">
        <v>337</v>
      </c>
      <c r="F4" s="18" t="s">
        <v>41</v>
      </c>
      <c r="G4" s="18" t="s">
        <v>238</v>
      </c>
      <c r="H4" s="18">
        <v>13</v>
      </c>
      <c r="I4" s="18">
        <v>15</v>
      </c>
      <c r="J4" s="18">
        <v>0</v>
      </c>
      <c r="K4" s="18">
        <v>370</v>
      </c>
      <c r="L4" s="18">
        <v>0</v>
      </c>
      <c r="M4" s="18">
        <v>0</v>
      </c>
      <c r="N4" s="18">
        <v>0</v>
      </c>
      <c r="O4" s="18">
        <v>0</v>
      </c>
      <c r="P4" s="18">
        <v>4450</v>
      </c>
      <c r="Q4" s="18">
        <f>#REF!/#REF!</f>
        <v>296.66666666666669</v>
      </c>
      <c r="R4" s="18"/>
      <c r="S4" s="18"/>
      <c r="T4" s="18"/>
      <c r="U4" s="18"/>
      <c r="V4" s="18"/>
      <c r="W4" s="18"/>
      <c r="X4" s="18"/>
      <c r="Y4" s="18">
        <v>1</v>
      </c>
      <c r="Z4" s="18">
        <v>0</v>
      </c>
      <c r="AA4" s="18">
        <v>0</v>
      </c>
      <c r="AB4" s="18"/>
      <c r="AC4" s="18"/>
      <c r="AD4" s="18"/>
      <c r="AE4" s="18">
        <v>1</v>
      </c>
      <c r="AF4" s="18">
        <v>2</v>
      </c>
      <c r="AG4" s="18" t="s">
        <v>41</v>
      </c>
      <c r="AH4" s="18" t="s">
        <v>41</v>
      </c>
      <c r="AI4" s="18" t="s">
        <v>41</v>
      </c>
      <c r="AJ4" s="18">
        <v>1</v>
      </c>
      <c r="AK4" s="18" t="s">
        <v>1343</v>
      </c>
      <c r="AL4" s="19" t="s">
        <v>41</v>
      </c>
    </row>
    <row r="5" spans="1:38">
      <c r="A5" s="17" t="s">
        <v>949</v>
      </c>
      <c r="B5" s="18" t="s">
        <v>806</v>
      </c>
      <c r="C5" s="18">
        <v>1</v>
      </c>
      <c r="D5" s="18" t="s">
        <v>336</v>
      </c>
      <c r="E5" s="18" t="s">
        <v>337</v>
      </c>
      <c r="F5" s="18" t="s">
        <v>41</v>
      </c>
      <c r="G5" s="18" t="s">
        <v>238</v>
      </c>
      <c r="H5" s="18">
        <v>29</v>
      </c>
      <c r="I5" s="18">
        <v>15</v>
      </c>
      <c r="J5" s="18">
        <v>0</v>
      </c>
      <c r="K5" s="18">
        <v>400</v>
      </c>
      <c r="L5" s="18">
        <v>0</v>
      </c>
      <c r="M5" s="18">
        <v>0</v>
      </c>
      <c r="N5" s="18">
        <v>0</v>
      </c>
      <c r="O5" s="18">
        <v>0</v>
      </c>
      <c r="P5" s="18">
        <v>4450</v>
      </c>
      <c r="Q5" s="18">
        <f>#REF!/#REF!</f>
        <v>296.66666666666669</v>
      </c>
      <c r="R5" s="18"/>
      <c r="S5" s="18"/>
      <c r="T5" s="18"/>
      <c r="U5" s="18"/>
      <c r="V5" s="18"/>
      <c r="W5" s="18"/>
      <c r="X5" s="18"/>
      <c r="Y5" s="18">
        <v>1</v>
      </c>
      <c r="Z5" s="18">
        <v>0</v>
      </c>
      <c r="AA5" s="18">
        <v>0</v>
      </c>
      <c r="AB5" s="18"/>
      <c r="AC5" s="18"/>
      <c r="AD5" s="18"/>
      <c r="AE5" s="18">
        <v>1</v>
      </c>
      <c r="AF5" s="18">
        <v>2</v>
      </c>
      <c r="AG5" s="18" t="s">
        <v>41</v>
      </c>
      <c r="AH5" s="18" t="s">
        <v>41</v>
      </c>
      <c r="AI5" s="18" t="s">
        <v>41</v>
      </c>
      <c r="AJ5" s="18">
        <v>1</v>
      </c>
      <c r="AK5" s="18" t="s">
        <v>1536</v>
      </c>
      <c r="AL5" s="19" t="s">
        <v>41</v>
      </c>
    </row>
    <row r="6" spans="1:38">
      <c r="A6" s="17" t="s">
        <v>381</v>
      </c>
      <c r="B6" s="18" t="s">
        <v>38</v>
      </c>
      <c r="C6" s="18">
        <v>2</v>
      </c>
      <c r="D6" s="18" t="s">
        <v>382</v>
      </c>
      <c r="E6" s="18" t="s">
        <v>383</v>
      </c>
      <c r="F6" s="18" t="s">
        <v>41</v>
      </c>
      <c r="G6" s="18" t="s">
        <v>238</v>
      </c>
      <c r="H6" s="18">
        <v>47</v>
      </c>
      <c r="I6" s="18">
        <v>40</v>
      </c>
      <c r="J6" s="18">
        <v>500</v>
      </c>
      <c r="K6" s="18">
        <v>900</v>
      </c>
      <c r="L6" s="18">
        <v>0</v>
      </c>
      <c r="M6" s="18">
        <v>0</v>
      </c>
      <c r="N6" s="18">
        <v>0</v>
      </c>
      <c r="O6" s="18">
        <v>0</v>
      </c>
      <c r="P6" s="18">
        <v>8900</v>
      </c>
      <c r="Q6" s="18">
        <f>#REF!/#REF!</f>
        <v>222.5</v>
      </c>
      <c r="R6" s="18"/>
      <c r="S6" s="18"/>
      <c r="T6" s="18"/>
      <c r="U6" s="18"/>
      <c r="V6" s="18"/>
      <c r="W6" s="18"/>
      <c r="X6" s="18"/>
      <c r="Y6" s="18">
        <v>1</v>
      </c>
      <c r="Z6" s="18">
        <v>0</v>
      </c>
      <c r="AA6" s="18">
        <v>0</v>
      </c>
      <c r="AB6" s="18"/>
      <c r="AC6" s="18"/>
      <c r="AD6" s="18"/>
      <c r="AE6" s="18">
        <v>1</v>
      </c>
      <c r="AF6" s="18">
        <v>2</v>
      </c>
      <c r="AG6" s="18" t="s">
        <v>41</v>
      </c>
      <c r="AH6" s="18" t="s">
        <v>41</v>
      </c>
      <c r="AI6" s="18" t="s">
        <v>41</v>
      </c>
      <c r="AJ6" s="18">
        <v>1</v>
      </c>
      <c r="AK6" s="18" t="s">
        <v>1355</v>
      </c>
      <c r="AL6" s="19" t="s">
        <v>41</v>
      </c>
    </row>
    <row r="7" spans="1:38">
      <c r="A7" s="17" t="s">
        <v>963</v>
      </c>
      <c r="B7" s="18" t="s">
        <v>806</v>
      </c>
      <c r="C7" s="18">
        <v>2</v>
      </c>
      <c r="D7" s="18" t="s">
        <v>382</v>
      </c>
      <c r="E7" s="18" t="s">
        <v>383</v>
      </c>
      <c r="F7" s="18" t="s">
        <v>41</v>
      </c>
      <c r="G7" s="18" t="s">
        <v>238</v>
      </c>
      <c r="H7" s="18">
        <v>55</v>
      </c>
      <c r="I7" s="18">
        <v>40</v>
      </c>
      <c r="J7" s="18">
        <v>500</v>
      </c>
      <c r="K7" s="18">
        <v>900</v>
      </c>
      <c r="L7" s="18">
        <v>0</v>
      </c>
      <c r="M7" s="18">
        <v>0</v>
      </c>
      <c r="N7" s="18">
        <v>0</v>
      </c>
      <c r="O7" s="18">
        <v>0</v>
      </c>
      <c r="P7" s="18">
        <v>8900</v>
      </c>
      <c r="Q7" s="18">
        <f>#REF!/#REF!</f>
        <v>222.5</v>
      </c>
      <c r="R7" s="18"/>
      <c r="S7" s="18"/>
      <c r="T7" s="18"/>
      <c r="U7" s="18"/>
      <c r="V7" s="18"/>
      <c r="W7" s="18"/>
      <c r="X7" s="18"/>
      <c r="Y7" s="18">
        <v>1</v>
      </c>
      <c r="Z7" s="18">
        <v>0</v>
      </c>
      <c r="AA7" s="18">
        <v>0</v>
      </c>
      <c r="AB7" s="18"/>
      <c r="AC7" s="18"/>
      <c r="AD7" s="18"/>
      <c r="AE7" s="18">
        <v>1</v>
      </c>
      <c r="AF7" s="18">
        <v>2</v>
      </c>
      <c r="AG7" s="18" t="s">
        <v>41</v>
      </c>
      <c r="AH7" s="18" t="s">
        <v>41</v>
      </c>
      <c r="AI7" s="18" t="s">
        <v>41</v>
      </c>
      <c r="AJ7" s="18">
        <v>1</v>
      </c>
      <c r="AK7" s="18" t="s">
        <v>1544</v>
      </c>
      <c r="AL7" s="19" t="s">
        <v>41</v>
      </c>
    </row>
    <row r="8" spans="1:38">
      <c r="A8" s="17" t="s">
        <v>378</v>
      </c>
      <c r="B8" s="18" t="s">
        <v>38</v>
      </c>
      <c r="C8" s="18">
        <v>1</v>
      </c>
      <c r="D8" s="18" t="s">
        <v>379</v>
      </c>
      <c r="E8" s="18" t="s">
        <v>493</v>
      </c>
      <c r="F8" s="18" t="s">
        <v>41</v>
      </c>
      <c r="G8" s="18" t="s">
        <v>380</v>
      </c>
      <c r="H8" s="18">
        <v>23</v>
      </c>
      <c r="I8" s="18">
        <v>1</v>
      </c>
      <c r="J8" s="18">
        <v>1150</v>
      </c>
      <c r="K8" s="18">
        <v>2600</v>
      </c>
      <c r="L8" s="18">
        <v>0</v>
      </c>
      <c r="M8" s="18">
        <v>0</v>
      </c>
      <c r="N8" s="18">
        <v>0</v>
      </c>
      <c r="O8" s="18">
        <v>0</v>
      </c>
      <c r="P8" s="18">
        <v>167</v>
      </c>
      <c r="Q8" s="18">
        <f>#REF!/#REF!</f>
        <v>167</v>
      </c>
      <c r="R8" s="18"/>
      <c r="S8" s="18"/>
      <c r="T8" s="18"/>
      <c r="U8" s="18"/>
      <c r="V8" s="18"/>
      <c r="W8" s="18"/>
      <c r="X8" s="18"/>
      <c r="Y8" s="18">
        <v>1</v>
      </c>
      <c r="Z8" s="18">
        <v>0</v>
      </c>
      <c r="AA8" s="18">
        <v>0</v>
      </c>
      <c r="AB8" s="18"/>
      <c r="AC8" s="18"/>
      <c r="AD8" s="18"/>
      <c r="AE8" s="18">
        <v>273</v>
      </c>
      <c r="AF8" s="18">
        <v>410</v>
      </c>
      <c r="AG8" s="18" t="s">
        <v>41</v>
      </c>
      <c r="AH8" s="18" t="s">
        <v>41</v>
      </c>
      <c r="AI8" s="18" t="s">
        <v>41</v>
      </c>
      <c r="AJ8" s="18">
        <v>1</v>
      </c>
      <c r="AK8" s="18" t="s">
        <v>1354</v>
      </c>
      <c r="AL8" s="19" t="s">
        <v>41</v>
      </c>
    </row>
    <row r="9" spans="1:38">
      <c r="A9" s="17" t="s">
        <v>491</v>
      </c>
      <c r="B9" s="18" t="s">
        <v>38</v>
      </c>
      <c r="C9" s="18">
        <v>1</v>
      </c>
      <c r="D9" s="18" t="s">
        <v>492</v>
      </c>
      <c r="E9" s="18" t="s">
        <v>493</v>
      </c>
      <c r="F9" s="18" t="s">
        <v>41</v>
      </c>
      <c r="G9" s="18" t="s">
        <v>380</v>
      </c>
      <c r="H9" s="18">
        <v>23</v>
      </c>
      <c r="I9" s="18">
        <v>1</v>
      </c>
      <c r="J9" s="18">
        <v>1150</v>
      </c>
      <c r="K9" s="18">
        <v>2600</v>
      </c>
      <c r="L9" s="18">
        <v>0</v>
      </c>
      <c r="M9" s="18">
        <v>0</v>
      </c>
      <c r="N9" s="18">
        <v>0</v>
      </c>
      <c r="O9" s="18">
        <v>0</v>
      </c>
      <c r="P9" s="18">
        <v>167</v>
      </c>
      <c r="Q9" s="18">
        <f>#REF!/#REF!</f>
        <v>167</v>
      </c>
      <c r="R9" s="18"/>
      <c r="S9" s="18"/>
      <c r="T9" s="18"/>
      <c r="U9" s="18"/>
      <c r="V9" s="18"/>
      <c r="W9" s="18"/>
      <c r="X9" s="18"/>
      <c r="Y9" s="18">
        <v>1</v>
      </c>
      <c r="Z9" s="18">
        <v>0</v>
      </c>
      <c r="AA9" s="18">
        <v>0</v>
      </c>
      <c r="AB9" s="18"/>
      <c r="AC9" s="18"/>
      <c r="AD9" s="18"/>
      <c r="AE9" s="18">
        <v>273</v>
      </c>
      <c r="AF9" s="18">
        <v>410</v>
      </c>
      <c r="AG9" s="18" t="s">
        <v>41</v>
      </c>
      <c r="AH9" s="18" t="s">
        <v>41</v>
      </c>
      <c r="AI9" s="18" t="s">
        <v>41</v>
      </c>
      <c r="AJ9" s="18">
        <v>1</v>
      </c>
      <c r="AK9" s="18" t="s">
        <v>1387</v>
      </c>
      <c r="AL9" s="19" t="s">
        <v>41</v>
      </c>
    </row>
    <row r="10" spans="1:38">
      <c r="A10" s="17" t="s">
        <v>961</v>
      </c>
      <c r="B10" s="18" t="s">
        <v>806</v>
      </c>
      <c r="C10" s="18">
        <v>1</v>
      </c>
      <c r="D10" s="18" t="s">
        <v>379</v>
      </c>
      <c r="E10" s="18" t="s">
        <v>493</v>
      </c>
      <c r="F10" s="18" t="s">
        <v>41</v>
      </c>
      <c r="G10" s="18" t="s">
        <v>380</v>
      </c>
      <c r="H10" s="18">
        <v>32</v>
      </c>
      <c r="I10" s="18">
        <v>1</v>
      </c>
      <c r="J10" s="18">
        <v>1250</v>
      </c>
      <c r="K10" s="18">
        <v>2680</v>
      </c>
      <c r="L10" s="18">
        <v>0</v>
      </c>
      <c r="M10" s="18">
        <v>0</v>
      </c>
      <c r="N10" s="18">
        <v>0</v>
      </c>
      <c r="O10" s="18">
        <v>0</v>
      </c>
      <c r="P10" s="18">
        <v>167</v>
      </c>
      <c r="Q10" s="18">
        <f>#REF!/#REF!</f>
        <v>167</v>
      </c>
      <c r="R10" s="18"/>
      <c r="S10" s="18"/>
      <c r="T10" s="18"/>
      <c r="U10" s="18"/>
      <c r="V10" s="18"/>
      <c r="W10" s="18"/>
      <c r="X10" s="18"/>
      <c r="Y10" s="18">
        <v>1</v>
      </c>
      <c r="Z10" s="18">
        <v>0</v>
      </c>
      <c r="AA10" s="18">
        <v>0</v>
      </c>
      <c r="AB10" s="18"/>
      <c r="AC10" s="18"/>
      <c r="AD10" s="18"/>
      <c r="AE10" s="18">
        <v>273</v>
      </c>
      <c r="AF10" s="18">
        <v>410</v>
      </c>
      <c r="AG10" s="18" t="s">
        <v>41</v>
      </c>
      <c r="AH10" s="18" t="s">
        <v>41</v>
      </c>
      <c r="AI10" s="18" t="s">
        <v>41</v>
      </c>
      <c r="AJ10" s="18">
        <v>1</v>
      </c>
      <c r="AK10" s="18" t="s">
        <v>1543</v>
      </c>
      <c r="AL10" s="19" t="s">
        <v>41</v>
      </c>
    </row>
    <row r="11" spans="1:38">
      <c r="A11" s="17" t="s">
        <v>1039</v>
      </c>
      <c r="B11" s="18" t="s">
        <v>806</v>
      </c>
      <c r="C11" s="18">
        <v>1</v>
      </c>
      <c r="D11" s="18" t="s">
        <v>492</v>
      </c>
      <c r="E11" s="18" t="s">
        <v>493</v>
      </c>
      <c r="F11" s="18" t="s">
        <v>41</v>
      </c>
      <c r="G11" s="18" t="s">
        <v>380</v>
      </c>
      <c r="H11" s="18">
        <v>26</v>
      </c>
      <c r="I11" s="18">
        <v>1</v>
      </c>
      <c r="J11" s="18">
        <v>1250</v>
      </c>
      <c r="K11" s="18">
        <v>2680</v>
      </c>
      <c r="L11" s="18">
        <v>0</v>
      </c>
      <c r="M11" s="18">
        <v>0</v>
      </c>
      <c r="N11" s="18">
        <v>0</v>
      </c>
      <c r="O11" s="18">
        <v>0</v>
      </c>
      <c r="P11" s="18">
        <v>167</v>
      </c>
      <c r="Q11" s="18">
        <f>#REF!/#REF!</f>
        <v>167</v>
      </c>
      <c r="R11" s="18"/>
      <c r="S11" s="18"/>
      <c r="T11" s="18"/>
      <c r="U11" s="18"/>
      <c r="V11" s="18"/>
      <c r="W11" s="18"/>
      <c r="X11" s="18"/>
      <c r="Y11" s="18">
        <v>1</v>
      </c>
      <c r="Z11" s="18">
        <v>0</v>
      </c>
      <c r="AA11" s="18">
        <v>0</v>
      </c>
      <c r="AB11" s="18"/>
      <c r="AC11" s="18"/>
      <c r="AD11" s="18"/>
      <c r="AE11" s="18">
        <v>273</v>
      </c>
      <c r="AF11" s="18">
        <v>410</v>
      </c>
      <c r="AG11" s="18" t="s">
        <v>41</v>
      </c>
      <c r="AH11" s="18" t="s">
        <v>41</v>
      </c>
      <c r="AI11" s="18" t="s">
        <v>41</v>
      </c>
      <c r="AJ11" s="18">
        <v>1</v>
      </c>
      <c r="AK11" s="18" t="s">
        <v>1579</v>
      </c>
      <c r="AL11" s="19" t="s">
        <v>41</v>
      </c>
    </row>
    <row r="12" spans="1:38">
      <c r="A12" s="17" t="s">
        <v>1011</v>
      </c>
      <c r="B12" s="18" t="s">
        <v>806</v>
      </c>
      <c r="C12" s="18">
        <v>3</v>
      </c>
      <c r="D12" s="18" t="s">
        <v>1012</v>
      </c>
      <c r="E12" s="18" t="s">
        <v>1013</v>
      </c>
      <c r="F12" s="18" t="s">
        <v>41</v>
      </c>
      <c r="G12" s="18" t="s">
        <v>1014</v>
      </c>
      <c r="H12" s="18">
        <v>105</v>
      </c>
      <c r="I12" s="18">
        <v>20000</v>
      </c>
      <c r="J12" s="18">
        <v>513000</v>
      </c>
      <c r="K12" s="18">
        <v>630000</v>
      </c>
      <c r="L12" s="18">
        <v>0</v>
      </c>
      <c r="M12" s="18">
        <v>0</v>
      </c>
      <c r="N12" s="18">
        <v>0</v>
      </c>
      <c r="O12" s="18">
        <v>17</v>
      </c>
      <c r="P12" s="18">
        <v>335000</v>
      </c>
      <c r="Q12" s="18">
        <f>#REF!/#REF!</f>
        <v>16.75</v>
      </c>
      <c r="R12" s="18"/>
      <c r="S12" s="18"/>
      <c r="T12" s="18"/>
      <c r="U12" s="18"/>
      <c r="V12" s="18"/>
      <c r="W12" s="18"/>
      <c r="X12" s="18"/>
      <c r="Y12" s="18"/>
      <c r="Z12" s="18">
        <v>1121</v>
      </c>
      <c r="AA12" s="18">
        <v>590</v>
      </c>
      <c r="AB12" s="18"/>
      <c r="AC12" s="18"/>
      <c r="AD12" s="18"/>
      <c r="AE12" s="18">
        <v>720</v>
      </c>
      <c r="AF12" s="18">
        <v>1080</v>
      </c>
      <c r="AG12" s="18" t="s">
        <v>41</v>
      </c>
      <c r="AH12" s="18" t="s">
        <v>1015</v>
      </c>
      <c r="AI12" s="18" t="s">
        <v>41</v>
      </c>
      <c r="AJ12" s="18">
        <v>1</v>
      </c>
      <c r="AK12" s="18" t="s">
        <v>1569</v>
      </c>
      <c r="AL12" s="19" t="s">
        <v>41</v>
      </c>
    </row>
    <row r="13" spans="1:38">
      <c r="A13" s="17" t="s">
        <v>1196</v>
      </c>
      <c r="B13" s="18" t="s">
        <v>806</v>
      </c>
      <c r="C13" s="18">
        <v>2</v>
      </c>
      <c r="D13" s="18" t="s">
        <v>749</v>
      </c>
      <c r="E13" s="18" t="s">
        <v>750</v>
      </c>
      <c r="F13" s="18" t="s">
        <v>41</v>
      </c>
      <c r="G13" s="18" t="s">
        <v>751</v>
      </c>
      <c r="H13" s="18">
        <v>43</v>
      </c>
      <c r="I13" s="18">
        <v>840</v>
      </c>
      <c r="J13" s="18">
        <v>11000</v>
      </c>
      <c r="K13" s="18">
        <v>20400</v>
      </c>
      <c r="L13" s="18">
        <v>0</v>
      </c>
      <c r="M13" s="18">
        <v>0</v>
      </c>
      <c r="N13" s="18">
        <v>0</v>
      </c>
      <c r="O13" s="18">
        <v>0</v>
      </c>
      <c r="P13" s="18">
        <v>12700</v>
      </c>
      <c r="Q13" s="18">
        <f>#REF!/#REF!</f>
        <v>15.119047619047619</v>
      </c>
      <c r="R13" s="18">
        <v>1</v>
      </c>
      <c r="S13" s="18"/>
      <c r="T13" s="18"/>
      <c r="U13" s="18"/>
      <c r="V13" s="18"/>
      <c r="W13" s="18"/>
      <c r="X13" s="18"/>
      <c r="Y13" s="18">
        <v>1</v>
      </c>
      <c r="Z13" s="18">
        <v>0</v>
      </c>
      <c r="AA13" s="18">
        <v>0</v>
      </c>
      <c r="AB13" s="18"/>
      <c r="AC13" s="18"/>
      <c r="AD13" s="18"/>
      <c r="AE13" s="18">
        <v>192</v>
      </c>
      <c r="AF13" s="18">
        <v>288</v>
      </c>
      <c r="AG13" s="18" t="s">
        <v>41</v>
      </c>
      <c r="AH13" s="18" t="s">
        <v>41</v>
      </c>
      <c r="AI13" s="18" t="s">
        <v>41</v>
      </c>
      <c r="AJ13" s="18">
        <v>1</v>
      </c>
      <c r="AK13" s="18" t="s">
        <v>1654</v>
      </c>
      <c r="AL13" s="19" t="s">
        <v>41</v>
      </c>
    </row>
    <row r="14" spans="1:38">
      <c r="A14" s="17" t="s">
        <v>841</v>
      </c>
      <c r="B14" s="18" t="s">
        <v>806</v>
      </c>
      <c r="C14" s="18">
        <v>2</v>
      </c>
      <c r="D14" s="18" t="s">
        <v>150</v>
      </c>
      <c r="E14" s="18" t="s">
        <v>151</v>
      </c>
      <c r="F14" s="18" t="s">
        <v>41</v>
      </c>
      <c r="G14" s="18" t="s">
        <v>139</v>
      </c>
      <c r="H14" s="18">
        <v>12</v>
      </c>
      <c r="I14" s="18">
        <v>160</v>
      </c>
      <c r="J14" s="18">
        <v>2400</v>
      </c>
      <c r="K14" s="18">
        <v>6100</v>
      </c>
      <c r="L14" s="18">
        <v>0</v>
      </c>
      <c r="M14" s="18">
        <v>0</v>
      </c>
      <c r="N14" s="18">
        <v>0</v>
      </c>
      <c r="O14" s="18">
        <v>0</v>
      </c>
      <c r="P14" s="18">
        <v>2400</v>
      </c>
      <c r="Q14" s="18">
        <f>#REF!/#REF!</f>
        <v>15</v>
      </c>
      <c r="R14" s="18"/>
      <c r="S14" s="18">
        <v>1</v>
      </c>
      <c r="T14" s="18"/>
      <c r="U14" s="18"/>
      <c r="V14" s="18"/>
      <c r="W14" s="18"/>
      <c r="X14" s="18"/>
      <c r="Y14" s="18">
        <v>1</v>
      </c>
      <c r="Z14" s="18">
        <v>0</v>
      </c>
      <c r="AA14" s="18">
        <v>0</v>
      </c>
      <c r="AB14" s="18"/>
      <c r="AC14" s="18">
        <v>1600</v>
      </c>
      <c r="AD14" s="18"/>
      <c r="AE14" s="18">
        <v>210</v>
      </c>
      <c r="AF14" s="18">
        <v>315</v>
      </c>
      <c r="AG14" s="18" t="s">
        <v>41</v>
      </c>
      <c r="AH14" s="18" t="s">
        <v>41</v>
      </c>
      <c r="AI14" s="18" t="s">
        <v>41</v>
      </c>
      <c r="AJ14" s="18">
        <v>1</v>
      </c>
      <c r="AK14" s="18" t="s">
        <v>1495</v>
      </c>
      <c r="AL14" s="19" t="s">
        <v>41</v>
      </c>
    </row>
    <row r="15" spans="1:38">
      <c r="A15" s="17" t="s">
        <v>1197</v>
      </c>
      <c r="B15" s="18" t="s">
        <v>806</v>
      </c>
      <c r="C15" s="18">
        <v>2</v>
      </c>
      <c r="D15" s="18" t="s">
        <v>753</v>
      </c>
      <c r="E15" s="18" t="s">
        <v>754</v>
      </c>
      <c r="F15" s="18" t="s">
        <v>41</v>
      </c>
      <c r="G15" s="18" t="s">
        <v>755</v>
      </c>
      <c r="H15" s="18">
        <v>45</v>
      </c>
      <c r="I15" s="18">
        <v>760</v>
      </c>
      <c r="J15" s="18">
        <v>11000</v>
      </c>
      <c r="K15" s="18">
        <v>20500</v>
      </c>
      <c r="L15" s="18">
        <v>0</v>
      </c>
      <c r="M15" s="18">
        <v>0</v>
      </c>
      <c r="N15" s="18">
        <v>0</v>
      </c>
      <c r="O15" s="18">
        <v>0</v>
      </c>
      <c r="P15" s="18">
        <v>11200</v>
      </c>
      <c r="Q15" s="18">
        <f>#REF!/#REF!</f>
        <v>14.736842105263158</v>
      </c>
      <c r="R15" s="18">
        <v>1</v>
      </c>
      <c r="S15" s="18"/>
      <c r="T15" s="18"/>
      <c r="U15" s="18"/>
      <c r="V15" s="18"/>
      <c r="W15" s="18"/>
      <c r="X15" s="18"/>
      <c r="Y15" s="18">
        <v>1</v>
      </c>
      <c r="Z15" s="18">
        <v>0</v>
      </c>
      <c r="AA15" s="18">
        <v>0</v>
      </c>
      <c r="AB15" s="18"/>
      <c r="AC15" s="18"/>
      <c r="AD15" s="18"/>
      <c r="AE15" s="18">
        <v>182</v>
      </c>
      <c r="AF15" s="18">
        <v>273</v>
      </c>
      <c r="AG15" s="18" t="s">
        <v>41</v>
      </c>
      <c r="AH15" s="18" t="s">
        <v>41</v>
      </c>
      <c r="AI15" s="18" t="s">
        <v>41</v>
      </c>
      <c r="AJ15" s="18">
        <v>1</v>
      </c>
      <c r="AK15" s="18" t="s">
        <v>1655</v>
      </c>
      <c r="AL15" s="19" t="s">
        <v>41</v>
      </c>
    </row>
    <row r="16" spans="1:38">
      <c r="A16" s="17" t="s">
        <v>748</v>
      </c>
      <c r="B16" s="18" t="s">
        <v>38</v>
      </c>
      <c r="C16" s="18">
        <v>2</v>
      </c>
      <c r="D16" s="18" t="s">
        <v>749</v>
      </c>
      <c r="E16" s="18" t="s">
        <v>750</v>
      </c>
      <c r="F16" s="18" t="s">
        <v>41</v>
      </c>
      <c r="G16" s="18" t="s">
        <v>751</v>
      </c>
      <c r="H16" s="18">
        <v>41</v>
      </c>
      <c r="I16" s="18">
        <v>830</v>
      </c>
      <c r="J16" s="18">
        <v>10000</v>
      </c>
      <c r="K16" s="18">
        <v>20300</v>
      </c>
      <c r="L16" s="18">
        <v>0</v>
      </c>
      <c r="M16" s="18">
        <v>0</v>
      </c>
      <c r="N16" s="18">
        <v>0</v>
      </c>
      <c r="O16" s="18">
        <v>0</v>
      </c>
      <c r="P16" s="18">
        <v>11700</v>
      </c>
      <c r="Q16" s="18">
        <f>#REF!/#REF!</f>
        <v>14.096385542168674</v>
      </c>
      <c r="R16" s="18">
        <v>1</v>
      </c>
      <c r="S16" s="18"/>
      <c r="T16" s="18"/>
      <c r="U16" s="18"/>
      <c r="V16" s="18"/>
      <c r="W16" s="18"/>
      <c r="X16" s="18"/>
      <c r="Y16" s="18">
        <v>1</v>
      </c>
      <c r="Z16" s="18">
        <v>0</v>
      </c>
      <c r="AA16" s="18">
        <v>0</v>
      </c>
      <c r="AB16" s="18"/>
      <c r="AC16" s="18"/>
      <c r="AD16" s="18"/>
      <c r="AE16" s="18">
        <v>169</v>
      </c>
      <c r="AF16" s="18">
        <v>254</v>
      </c>
      <c r="AG16" s="18" t="s">
        <v>41</v>
      </c>
      <c r="AH16" s="18" t="s">
        <v>41</v>
      </c>
      <c r="AI16" s="18" t="s">
        <v>41</v>
      </c>
      <c r="AJ16" s="18">
        <v>1</v>
      </c>
      <c r="AK16" s="18" t="s">
        <v>1455</v>
      </c>
      <c r="AL16" s="19" t="s">
        <v>41</v>
      </c>
    </row>
    <row r="17" spans="1:38">
      <c r="A17" s="17" t="s">
        <v>280</v>
      </c>
      <c r="B17" s="18" t="s">
        <v>38</v>
      </c>
      <c r="C17" s="18">
        <v>2</v>
      </c>
      <c r="D17" s="18" t="s">
        <v>281</v>
      </c>
      <c r="E17" s="18" t="s">
        <v>282</v>
      </c>
      <c r="F17" s="18" t="s">
        <v>41</v>
      </c>
      <c r="G17" s="18" t="s">
        <v>234</v>
      </c>
      <c r="H17" s="18">
        <v>64</v>
      </c>
      <c r="I17" s="18">
        <v>370</v>
      </c>
      <c r="J17" s="18">
        <v>100</v>
      </c>
      <c r="K17" s="18">
        <v>7500</v>
      </c>
      <c r="L17" s="18">
        <v>0</v>
      </c>
      <c r="M17" s="18">
        <v>0</v>
      </c>
      <c r="N17" s="18">
        <v>0</v>
      </c>
      <c r="O17" s="18">
        <v>0</v>
      </c>
      <c r="P17" s="18">
        <v>5200</v>
      </c>
      <c r="Q17" s="18">
        <f>#REF!/#REF!</f>
        <v>14.054054054054054</v>
      </c>
      <c r="R17" s="18"/>
      <c r="S17" s="18"/>
      <c r="T17" s="18"/>
      <c r="U17" s="18"/>
      <c r="V17" s="18"/>
      <c r="W17" s="18"/>
      <c r="X17" s="18"/>
      <c r="Y17" s="18">
        <v>1</v>
      </c>
      <c r="Z17" s="18">
        <v>0</v>
      </c>
      <c r="AA17" s="18">
        <v>0</v>
      </c>
      <c r="AB17" s="18"/>
      <c r="AC17" s="18"/>
      <c r="AD17" s="18"/>
      <c r="AE17" s="18">
        <v>210</v>
      </c>
      <c r="AF17" s="18">
        <v>315</v>
      </c>
      <c r="AG17" s="18" t="s">
        <v>41</v>
      </c>
      <c r="AH17" s="18" t="s">
        <v>41</v>
      </c>
      <c r="AI17" s="18" t="s">
        <v>41</v>
      </c>
      <c r="AJ17" s="18">
        <v>1</v>
      </c>
      <c r="AK17" s="18" t="s">
        <v>1329</v>
      </c>
      <c r="AL17" s="19" t="s">
        <v>41</v>
      </c>
    </row>
    <row r="18" spans="1:38">
      <c r="A18" s="17" t="s">
        <v>149</v>
      </c>
      <c r="B18" s="18" t="s">
        <v>38</v>
      </c>
      <c r="C18" s="18">
        <v>2</v>
      </c>
      <c r="D18" s="18" t="s">
        <v>150</v>
      </c>
      <c r="E18" s="18" t="s">
        <v>151</v>
      </c>
      <c r="F18" s="18" t="s">
        <v>41</v>
      </c>
      <c r="G18" s="18" t="s">
        <v>139</v>
      </c>
      <c r="H18" s="18">
        <v>53</v>
      </c>
      <c r="I18" s="18">
        <v>170</v>
      </c>
      <c r="J18" s="18">
        <v>2600</v>
      </c>
      <c r="K18" s="18">
        <v>6150</v>
      </c>
      <c r="L18" s="18">
        <v>0</v>
      </c>
      <c r="M18" s="18">
        <v>0</v>
      </c>
      <c r="N18" s="18">
        <v>0</v>
      </c>
      <c r="O18" s="18">
        <v>0</v>
      </c>
      <c r="P18" s="18">
        <v>2350</v>
      </c>
      <c r="Q18" s="18">
        <f>#REF!/#REF!</f>
        <v>13.823529411764707</v>
      </c>
      <c r="R18" s="18"/>
      <c r="S18" s="18">
        <v>1</v>
      </c>
      <c r="T18" s="18"/>
      <c r="U18" s="18"/>
      <c r="V18" s="18"/>
      <c r="W18" s="18"/>
      <c r="X18" s="18"/>
      <c r="Y18" s="18">
        <v>1</v>
      </c>
      <c r="Z18" s="18">
        <v>0</v>
      </c>
      <c r="AA18" s="18">
        <v>0</v>
      </c>
      <c r="AB18" s="18"/>
      <c r="AC18" s="18">
        <v>1600</v>
      </c>
      <c r="AD18" s="18"/>
      <c r="AE18" s="18">
        <v>215</v>
      </c>
      <c r="AF18" s="18">
        <v>323</v>
      </c>
      <c r="AG18" s="18" t="s">
        <v>41</v>
      </c>
      <c r="AH18" s="18" t="s">
        <v>41</v>
      </c>
      <c r="AI18" s="18" t="s">
        <v>41</v>
      </c>
      <c r="AJ18" s="18">
        <v>1</v>
      </c>
      <c r="AK18" s="18" t="s">
        <v>1298</v>
      </c>
      <c r="AL18" s="19" t="s">
        <v>41</v>
      </c>
    </row>
    <row r="19" spans="1:38">
      <c r="A19" s="17" t="s">
        <v>752</v>
      </c>
      <c r="B19" s="18" t="s">
        <v>38</v>
      </c>
      <c r="C19" s="18">
        <v>2</v>
      </c>
      <c r="D19" s="18" t="s">
        <v>753</v>
      </c>
      <c r="E19" s="18" t="s">
        <v>754</v>
      </c>
      <c r="F19" s="18" t="s">
        <v>41</v>
      </c>
      <c r="G19" s="18" t="s">
        <v>755</v>
      </c>
      <c r="H19" s="18">
        <v>28</v>
      </c>
      <c r="I19" s="18">
        <v>750</v>
      </c>
      <c r="J19" s="18">
        <v>11500</v>
      </c>
      <c r="K19" s="18">
        <v>20400</v>
      </c>
      <c r="L19" s="18">
        <v>0</v>
      </c>
      <c r="M19" s="18">
        <v>0</v>
      </c>
      <c r="N19" s="18">
        <v>0</v>
      </c>
      <c r="O19" s="18">
        <v>0</v>
      </c>
      <c r="P19" s="18">
        <v>10300</v>
      </c>
      <c r="Q19" s="18">
        <f>#REF!/#REF!</f>
        <v>13.733333333333333</v>
      </c>
      <c r="R19" s="18">
        <v>1</v>
      </c>
      <c r="S19" s="18"/>
      <c r="T19" s="18"/>
      <c r="U19" s="18"/>
      <c r="V19" s="18"/>
      <c r="W19" s="18"/>
      <c r="X19" s="18"/>
      <c r="Y19" s="18">
        <v>1</v>
      </c>
      <c r="Z19" s="18">
        <v>0</v>
      </c>
      <c r="AA19" s="18">
        <v>0</v>
      </c>
      <c r="AB19" s="18"/>
      <c r="AC19" s="18"/>
      <c r="AD19" s="18"/>
      <c r="AE19" s="18">
        <v>195</v>
      </c>
      <c r="AF19" s="18">
        <v>293</v>
      </c>
      <c r="AG19" s="18" t="s">
        <v>41</v>
      </c>
      <c r="AH19" s="18" t="s">
        <v>41</v>
      </c>
      <c r="AI19" s="18" t="s">
        <v>41</v>
      </c>
      <c r="AJ19" s="18">
        <v>1</v>
      </c>
      <c r="AK19" s="18" t="s">
        <v>1456</v>
      </c>
      <c r="AL19" s="19" t="s">
        <v>41</v>
      </c>
    </row>
    <row r="20" spans="1:38">
      <c r="A20" s="17" t="s">
        <v>404</v>
      </c>
      <c r="B20" s="18" t="s">
        <v>38</v>
      </c>
      <c r="C20" s="18">
        <v>2</v>
      </c>
      <c r="D20" s="18" t="s">
        <v>405</v>
      </c>
      <c r="E20" s="18" t="s">
        <v>406</v>
      </c>
      <c r="F20" s="18" t="s">
        <v>41</v>
      </c>
      <c r="G20" s="18" t="s">
        <v>407</v>
      </c>
      <c r="H20" s="18">
        <v>39</v>
      </c>
      <c r="I20" s="18">
        <v>1150</v>
      </c>
      <c r="J20" s="18">
        <v>25000</v>
      </c>
      <c r="K20" s="18">
        <v>41500</v>
      </c>
      <c r="L20" s="18">
        <v>0</v>
      </c>
      <c r="M20" s="18">
        <v>750</v>
      </c>
      <c r="N20" s="18">
        <v>0</v>
      </c>
      <c r="O20" s="18">
        <v>0</v>
      </c>
      <c r="P20" s="18">
        <v>13900</v>
      </c>
      <c r="Q20" s="18">
        <f>#REF!/#REF!</f>
        <v>12.086956521739131</v>
      </c>
      <c r="R20" s="18"/>
      <c r="S20" s="18"/>
      <c r="T20" s="18"/>
      <c r="U20" s="18"/>
      <c r="V20" s="18"/>
      <c r="W20" s="18"/>
      <c r="X20" s="18"/>
      <c r="Y20" s="18">
        <v>1</v>
      </c>
      <c r="Z20" s="18">
        <v>0</v>
      </c>
      <c r="AA20" s="18">
        <v>0</v>
      </c>
      <c r="AB20" s="18"/>
      <c r="AC20" s="18"/>
      <c r="AD20" s="18"/>
      <c r="AE20" s="18">
        <v>273</v>
      </c>
      <c r="AF20" s="18">
        <v>410</v>
      </c>
      <c r="AG20" s="18" t="s">
        <v>41</v>
      </c>
      <c r="AH20" s="18" t="s">
        <v>41</v>
      </c>
      <c r="AI20" s="18" t="s">
        <v>41</v>
      </c>
      <c r="AJ20" s="18">
        <v>1</v>
      </c>
      <c r="AK20" s="18" t="s">
        <v>1361</v>
      </c>
      <c r="AL20" s="19" t="s">
        <v>41</v>
      </c>
    </row>
    <row r="21" spans="1:38">
      <c r="A21" s="17" t="s">
        <v>926</v>
      </c>
      <c r="B21" s="18" t="s">
        <v>806</v>
      </c>
      <c r="C21" s="18">
        <v>1</v>
      </c>
      <c r="D21" s="18" t="s">
        <v>306</v>
      </c>
      <c r="E21" s="18" t="s">
        <v>307</v>
      </c>
      <c r="F21" s="18" t="s">
        <v>41</v>
      </c>
      <c r="G21" s="18" t="s">
        <v>308</v>
      </c>
      <c r="H21" s="18">
        <v>42</v>
      </c>
      <c r="I21" s="18">
        <v>175</v>
      </c>
      <c r="J21" s="18">
        <v>1800</v>
      </c>
      <c r="K21" s="18">
        <v>4260</v>
      </c>
      <c r="L21" s="18">
        <v>0</v>
      </c>
      <c r="M21" s="18">
        <v>0</v>
      </c>
      <c r="N21" s="18">
        <v>0</v>
      </c>
      <c r="O21" s="18">
        <v>0</v>
      </c>
      <c r="P21" s="18">
        <v>2000</v>
      </c>
      <c r="Q21" s="18">
        <f>#REF!/#REF!</f>
        <v>11.428571428571429</v>
      </c>
      <c r="R21" s="18"/>
      <c r="S21" s="18"/>
      <c r="T21" s="18"/>
      <c r="U21" s="18"/>
      <c r="V21" s="18"/>
      <c r="W21" s="18"/>
      <c r="X21" s="18"/>
      <c r="Y21" s="18">
        <v>1</v>
      </c>
      <c r="Z21" s="18">
        <v>0</v>
      </c>
      <c r="AA21" s="18">
        <v>0</v>
      </c>
      <c r="AB21" s="18"/>
      <c r="AC21" s="18"/>
      <c r="AD21" s="18"/>
      <c r="AE21" s="18">
        <v>273</v>
      </c>
      <c r="AF21" s="18">
        <v>410</v>
      </c>
      <c r="AG21" s="18" t="s">
        <v>41</v>
      </c>
      <c r="AH21" s="18" t="s">
        <v>41</v>
      </c>
      <c r="AI21" s="18" t="s">
        <v>41</v>
      </c>
      <c r="AJ21" s="18">
        <v>1</v>
      </c>
      <c r="AK21" s="18" t="s">
        <v>1526</v>
      </c>
      <c r="AL21" s="19" t="s">
        <v>41</v>
      </c>
    </row>
    <row r="22" spans="1:38">
      <c r="A22" s="17" t="s">
        <v>1199</v>
      </c>
      <c r="B22" s="18" t="s">
        <v>806</v>
      </c>
      <c r="C22" s="18">
        <v>1</v>
      </c>
      <c r="D22" s="18" t="s">
        <v>758</v>
      </c>
      <c r="E22" s="18" t="s">
        <v>307</v>
      </c>
      <c r="F22" s="18" t="s">
        <v>41</v>
      </c>
      <c r="G22" s="18" t="s">
        <v>308</v>
      </c>
      <c r="H22" s="18">
        <v>31</v>
      </c>
      <c r="I22" s="18">
        <v>175</v>
      </c>
      <c r="J22" s="18">
        <v>1800</v>
      </c>
      <c r="K22" s="18">
        <v>4260</v>
      </c>
      <c r="L22" s="18">
        <v>0</v>
      </c>
      <c r="M22" s="18">
        <v>0</v>
      </c>
      <c r="N22" s="18">
        <v>0</v>
      </c>
      <c r="O22" s="18">
        <v>0</v>
      </c>
      <c r="P22" s="18">
        <v>2000</v>
      </c>
      <c r="Q22" s="18">
        <f>#REF!/#REF!</f>
        <v>11.428571428571429</v>
      </c>
      <c r="R22" s="18"/>
      <c r="S22" s="18">
        <v>1</v>
      </c>
      <c r="T22" s="18"/>
      <c r="U22" s="18"/>
      <c r="V22" s="18"/>
      <c r="W22" s="18"/>
      <c r="X22" s="18"/>
      <c r="Y22" s="18">
        <v>1</v>
      </c>
      <c r="Z22" s="18">
        <v>0</v>
      </c>
      <c r="AA22" s="18">
        <v>0</v>
      </c>
      <c r="AB22" s="18"/>
      <c r="AC22" s="18"/>
      <c r="AD22" s="18"/>
      <c r="AE22" s="18">
        <v>169</v>
      </c>
      <c r="AF22" s="18">
        <v>254</v>
      </c>
      <c r="AG22" s="18" t="s">
        <v>41</v>
      </c>
      <c r="AH22" s="18" t="s">
        <v>41</v>
      </c>
      <c r="AI22" s="18" t="s">
        <v>41</v>
      </c>
      <c r="AJ22" s="18">
        <v>1</v>
      </c>
      <c r="AK22" s="18" t="s">
        <v>1657</v>
      </c>
      <c r="AL22" s="19" t="s">
        <v>41</v>
      </c>
    </row>
    <row r="23" spans="1:38">
      <c r="A23" s="17" t="s">
        <v>305</v>
      </c>
      <c r="B23" s="18" t="s">
        <v>38</v>
      </c>
      <c r="C23" s="18">
        <v>1</v>
      </c>
      <c r="D23" s="18" t="s">
        <v>306</v>
      </c>
      <c r="E23" s="18" t="s">
        <v>307</v>
      </c>
      <c r="F23" s="18" t="s">
        <v>41</v>
      </c>
      <c r="G23" s="18" t="s">
        <v>308</v>
      </c>
      <c r="H23" s="18">
        <v>44</v>
      </c>
      <c r="I23" s="18">
        <v>170</v>
      </c>
      <c r="J23" s="18">
        <v>1700</v>
      </c>
      <c r="K23" s="18">
        <v>4110</v>
      </c>
      <c r="L23" s="18">
        <v>0</v>
      </c>
      <c r="M23" s="18">
        <v>0</v>
      </c>
      <c r="N23" s="18">
        <v>0</v>
      </c>
      <c r="O23" s="18">
        <v>0</v>
      </c>
      <c r="P23" s="18">
        <v>1890</v>
      </c>
      <c r="Q23" s="18">
        <f>#REF!/#REF!</f>
        <v>11.117647058823529</v>
      </c>
      <c r="R23" s="18"/>
      <c r="S23" s="18"/>
      <c r="T23" s="18"/>
      <c r="U23" s="18"/>
      <c r="V23" s="18"/>
      <c r="W23" s="18"/>
      <c r="X23" s="18"/>
      <c r="Y23" s="18">
        <v>1</v>
      </c>
      <c r="Z23" s="18">
        <v>0</v>
      </c>
      <c r="AA23" s="18">
        <v>0</v>
      </c>
      <c r="AB23" s="18"/>
      <c r="AC23" s="18"/>
      <c r="AD23" s="18"/>
      <c r="AE23" s="18">
        <v>273</v>
      </c>
      <c r="AF23" s="18">
        <v>410</v>
      </c>
      <c r="AG23" s="18" t="s">
        <v>41</v>
      </c>
      <c r="AH23" s="18" t="s">
        <v>41</v>
      </c>
      <c r="AI23" s="18" t="s">
        <v>41</v>
      </c>
      <c r="AJ23" s="18">
        <v>1</v>
      </c>
      <c r="AK23" s="18" t="s">
        <v>1335</v>
      </c>
      <c r="AL23" s="19" t="s">
        <v>41</v>
      </c>
    </row>
    <row r="24" spans="1:38">
      <c r="A24" s="17" t="s">
        <v>757</v>
      </c>
      <c r="B24" s="18" t="s">
        <v>38</v>
      </c>
      <c r="C24" s="18">
        <v>1</v>
      </c>
      <c r="D24" s="18" t="s">
        <v>758</v>
      </c>
      <c r="E24" s="18" t="s">
        <v>307</v>
      </c>
      <c r="F24" s="18" t="s">
        <v>41</v>
      </c>
      <c r="G24" s="18" t="s">
        <v>308</v>
      </c>
      <c r="H24" s="18">
        <v>50</v>
      </c>
      <c r="I24" s="18">
        <v>170</v>
      </c>
      <c r="J24" s="18">
        <v>1700</v>
      </c>
      <c r="K24" s="18">
        <v>4110</v>
      </c>
      <c r="L24" s="18">
        <v>0</v>
      </c>
      <c r="M24" s="18">
        <v>0</v>
      </c>
      <c r="N24" s="18">
        <v>0</v>
      </c>
      <c r="O24" s="18">
        <v>0</v>
      </c>
      <c r="P24" s="18">
        <v>1890</v>
      </c>
      <c r="Q24" s="18">
        <f>#REF!/#REF!</f>
        <v>11.117647058823529</v>
      </c>
      <c r="R24" s="18"/>
      <c r="S24" s="18">
        <v>1</v>
      </c>
      <c r="T24" s="18"/>
      <c r="U24" s="18"/>
      <c r="V24" s="18"/>
      <c r="W24" s="18"/>
      <c r="X24" s="18"/>
      <c r="Y24" s="18">
        <v>1</v>
      </c>
      <c r="Z24" s="18">
        <v>0</v>
      </c>
      <c r="AA24" s="18">
        <v>0</v>
      </c>
      <c r="AB24" s="18"/>
      <c r="AC24" s="18"/>
      <c r="AD24" s="18"/>
      <c r="AE24" s="18">
        <v>182</v>
      </c>
      <c r="AF24" s="18">
        <v>273</v>
      </c>
      <c r="AG24" s="18" t="s">
        <v>41</v>
      </c>
      <c r="AH24" s="18" t="s">
        <v>41</v>
      </c>
      <c r="AI24" s="18" t="s">
        <v>41</v>
      </c>
      <c r="AJ24" s="18">
        <v>1</v>
      </c>
      <c r="AK24" s="18" t="s">
        <v>1458</v>
      </c>
      <c r="AL24" s="19" t="s">
        <v>41</v>
      </c>
    </row>
    <row r="25" spans="1:38">
      <c r="A25" s="17" t="s">
        <v>767</v>
      </c>
      <c r="B25" s="18" t="s">
        <v>38</v>
      </c>
      <c r="C25" s="18">
        <v>1</v>
      </c>
      <c r="D25" s="18" t="s">
        <v>768</v>
      </c>
      <c r="E25" s="18" t="s">
        <v>558</v>
      </c>
      <c r="F25" s="18" t="s">
        <v>41</v>
      </c>
      <c r="G25" s="18" t="s">
        <v>559</v>
      </c>
      <c r="H25" s="18">
        <v>25</v>
      </c>
      <c r="I25" s="18">
        <v>330</v>
      </c>
      <c r="J25" s="18">
        <v>570</v>
      </c>
      <c r="K25" s="18">
        <v>2920</v>
      </c>
      <c r="L25" s="18">
        <v>0</v>
      </c>
      <c r="M25" s="18">
        <v>0</v>
      </c>
      <c r="N25" s="18">
        <v>0</v>
      </c>
      <c r="O25" s="18">
        <v>0</v>
      </c>
      <c r="P25" s="18">
        <v>3600</v>
      </c>
      <c r="Q25" s="18">
        <f>#REF!/#REF!</f>
        <v>10.909090909090908</v>
      </c>
      <c r="R25" s="18"/>
      <c r="S25" s="18">
        <v>1</v>
      </c>
      <c r="T25" s="18"/>
      <c r="U25" s="18"/>
      <c r="V25" s="18"/>
      <c r="W25" s="18"/>
      <c r="X25" s="18"/>
      <c r="Y25" s="18">
        <v>1</v>
      </c>
      <c r="Z25" s="18">
        <v>0</v>
      </c>
      <c r="AA25" s="18">
        <v>0</v>
      </c>
      <c r="AB25" s="18"/>
      <c r="AC25" s="18"/>
      <c r="AD25" s="18"/>
      <c r="AE25" s="18">
        <v>182</v>
      </c>
      <c r="AF25" s="18">
        <v>273</v>
      </c>
      <c r="AG25" s="18" t="s">
        <v>41</v>
      </c>
      <c r="AH25" s="18" t="s">
        <v>41</v>
      </c>
      <c r="AI25" s="18" t="s">
        <v>41</v>
      </c>
      <c r="AJ25" s="18">
        <v>1</v>
      </c>
      <c r="AK25" s="18" t="s">
        <v>1463</v>
      </c>
      <c r="AL25" s="19" t="s">
        <v>41</v>
      </c>
    </row>
    <row r="26" spans="1:38">
      <c r="A26" s="17" t="s">
        <v>269</v>
      </c>
      <c r="B26" s="18" t="s">
        <v>38</v>
      </c>
      <c r="C26" s="18">
        <v>1</v>
      </c>
      <c r="D26" s="18" t="s">
        <v>270</v>
      </c>
      <c r="E26" s="18" t="s">
        <v>216</v>
      </c>
      <c r="F26" s="18" t="s">
        <v>41</v>
      </c>
      <c r="G26" s="18" t="s">
        <v>271</v>
      </c>
      <c r="H26" s="18">
        <v>28</v>
      </c>
      <c r="I26" s="18">
        <v>135</v>
      </c>
      <c r="J26" s="18">
        <v>1950</v>
      </c>
      <c r="K26" s="18">
        <v>4050</v>
      </c>
      <c r="L26" s="18">
        <v>0</v>
      </c>
      <c r="M26" s="18">
        <v>10</v>
      </c>
      <c r="N26" s="18">
        <v>90</v>
      </c>
      <c r="O26" s="18">
        <v>54</v>
      </c>
      <c r="P26" s="18">
        <v>1380</v>
      </c>
      <c r="Q26" s="18">
        <f>#REF!/#REF!</f>
        <v>10.222222222222221</v>
      </c>
      <c r="R26" s="18"/>
      <c r="S26" s="18"/>
      <c r="T26" s="18"/>
      <c r="U26" s="18"/>
      <c r="V26" s="18"/>
      <c r="W26" s="18"/>
      <c r="X26" s="18"/>
      <c r="Y26" s="18"/>
      <c r="Z26" s="18">
        <v>0</v>
      </c>
      <c r="AA26" s="18">
        <v>0</v>
      </c>
      <c r="AB26" s="18"/>
      <c r="AC26" s="18"/>
      <c r="AD26" s="18">
        <v>50</v>
      </c>
      <c r="AE26" s="18">
        <v>253</v>
      </c>
      <c r="AF26" s="18">
        <v>380</v>
      </c>
      <c r="AG26" s="18" t="s">
        <v>41</v>
      </c>
      <c r="AH26" s="18" t="s">
        <v>41</v>
      </c>
      <c r="AI26" s="18" t="s">
        <v>272</v>
      </c>
      <c r="AJ26" s="18">
        <v>1</v>
      </c>
      <c r="AK26" s="18" t="s">
        <v>1326</v>
      </c>
      <c r="AL26" s="19" t="s">
        <v>41</v>
      </c>
    </row>
    <row r="27" spans="1:38">
      <c r="A27" s="17" t="s">
        <v>908</v>
      </c>
      <c r="B27" s="18" t="s">
        <v>806</v>
      </c>
      <c r="C27" s="18">
        <v>1</v>
      </c>
      <c r="D27" s="18" t="s">
        <v>270</v>
      </c>
      <c r="E27" s="18" t="s">
        <v>216</v>
      </c>
      <c r="F27" s="18" t="s">
        <v>41</v>
      </c>
      <c r="G27" s="18" t="s">
        <v>271</v>
      </c>
      <c r="H27" s="18">
        <v>25</v>
      </c>
      <c r="I27" s="18">
        <v>145</v>
      </c>
      <c r="J27" s="18">
        <v>2100</v>
      </c>
      <c r="K27" s="18">
        <v>4160</v>
      </c>
      <c r="L27" s="18">
        <v>0</v>
      </c>
      <c r="M27" s="18">
        <v>10</v>
      </c>
      <c r="N27" s="18">
        <v>90</v>
      </c>
      <c r="O27" s="18">
        <v>51</v>
      </c>
      <c r="P27" s="18">
        <v>1430</v>
      </c>
      <c r="Q27" s="18">
        <f>#REF!/#REF!</f>
        <v>9.862068965517242</v>
      </c>
      <c r="R27" s="18"/>
      <c r="S27" s="18"/>
      <c r="T27" s="18"/>
      <c r="U27" s="18"/>
      <c r="V27" s="18"/>
      <c r="W27" s="18"/>
      <c r="X27" s="18"/>
      <c r="Y27" s="18"/>
      <c r="Z27" s="18">
        <v>0</v>
      </c>
      <c r="AA27" s="18">
        <v>0</v>
      </c>
      <c r="AB27" s="18"/>
      <c r="AC27" s="18"/>
      <c r="AD27" s="18">
        <v>50</v>
      </c>
      <c r="AE27" s="18">
        <v>260</v>
      </c>
      <c r="AF27" s="18">
        <v>390</v>
      </c>
      <c r="AG27" s="18" t="s">
        <v>41</v>
      </c>
      <c r="AH27" s="18" t="s">
        <v>41</v>
      </c>
      <c r="AI27" s="18" t="s">
        <v>909</v>
      </c>
      <c r="AJ27" s="18">
        <v>1</v>
      </c>
      <c r="AK27" s="18" t="s">
        <v>1518</v>
      </c>
      <c r="AL27" s="19" t="s">
        <v>41</v>
      </c>
    </row>
    <row r="28" spans="1:38">
      <c r="A28" s="17" t="s">
        <v>874</v>
      </c>
      <c r="B28" s="18" t="s">
        <v>806</v>
      </c>
      <c r="C28" s="18">
        <v>2</v>
      </c>
      <c r="D28" s="18" t="s">
        <v>875</v>
      </c>
      <c r="E28" s="18" t="s">
        <v>876</v>
      </c>
      <c r="F28" s="18" t="s">
        <v>41</v>
      </c>
      <c r="G28" s="18" t="s">
        <v>874</v>
      </c>
      <c r="H28" s="18">
        <v>37</v>
      </c>
      <c r="I28" s="18">
        <v>560</v>
      </c>
      <c r="J28" s="18">
        <v>9300</v>
      </c>
      <c r="K28" s="18">
        <v>11700</v>
      </c>
      <c r="L28" s="18">
        <v>0</v>
      </c>
      <c r="M28" s="18">
        <v>0</v>
      </c>
      <c r="N28" s="18">
        <v>0</v>
      </c>
      <c r="O28" s="18">
        <v>38</v>
      </c>
      <c r="P28" s="18">
        <v>5400</v>
      </c>
      <c r="Q28" s="18">
        <f>#REF!/#REF!</f>
        <v>9.6428571428571423</v>
      </c>
      <c r="R28" s="18"/>
      <c r="S28" s="18"/>
      <c r="T28" s="18"/>
      <c r="U28" s="18"/>
      <c r="V28" s="18"/>
      <c r="W28" s="18"/>
      <c r="X28" s="18"/>
      <c r="Y28" s="18"/>
      <c r="Z28" s="18">
        <v>344</v>
      </c>
      <c r="AA28" s="18">
        <v>275</v>
      </c>
      <c r="AB28" s="18"/>
      <c r="AC28" s="18"/>
      <c r="AD28" s="18"/>
      <c r="AE28" s="18">
        <v>350</v>
      </c>
      <c r="AF28" s="18">
        <v>525</v>
      </c>
      <c r="AG28" s="18" t="s">
        <v>41</v>
      </c>
      <c r="AH28" s="18" t="s">
        <v>128</v>
      </c>
      <c r="AI28" s="18" t="s">
        <v>41</v>
      </c>
      <c r="AJ28" s="18">
        <v>1</v>
      </c>
      <c r="AK28" s="18" t="s">
        <v>1508</v>
      </c>
      <c r="AL28" s="19" t="s">
        <v>41</v>
      </c>
    </row>
    <row r="29" spans="1:38">
      <c r="A29" s="17" t="s">
        <v>916</v>
      </c>
      <c r="B29" s="18" t="s">
        <v>806</v>
      </c>
      <c r="C29" s="18">
        <v>1</v>
      </c>
      <c r="D29" s="18" t="s">
        <v>917</v>
      </c>
      <c r="E29" s="18" t="s">
        <v>290</v>
      </c>
      <c r="F29" s="18" t="s">
        <v>41</v>
      </c>
      <c r="G29" s="18" t="s">
        <v>291</v>
      </c>
      <c r="H29" s="18">
        <v>53</v>
      </c>
      <c r="I29" s="18">
        <v>250</v>
      </c>
      <c r="J29" s="18">
        <v>2200</v>
      </c>
      <c r="K29" s="18">
        <v>6800</v>
      </c>
      <c r="L29" s="18">
        <v>0</v>
      </c>
      <c r="M29" s="18">
        <v>0</v>
      </c>
      <c r="N29" s="18">
        <v>0</v>
      </c>
      <c r="O29" s="18">
        <v>0</v>
      </c>
      <c r="P29" s="18">
        <v>2350</v>
      </c>
      <c r="Q29" s="18">
        <f>#REF!/#REF!</f>
        <v>9.4</v>
      </c>
      <c r="R29" s="18"/>
      <c r="S29" s="18"/>
      <c r="T29" s="18"/>
      <c r="U29" s="18"/>
      <c r="V29" s="18"/>
      <c r="W29" s="18"/>
      <c r="X29" s="18"/>
      <c r="Y29" s="18">
        <v>1</v>
      </c>
      <c r="Z29" s="18">
        <v>150</v>
      </c>
      <c r="AA29" s="18">
        <v>600</v>
      </c>
      <c r="AB29" s="18"/>
      <c r="AC29" s="18">
        <v>600</v>
      </c>
      <c r="AD29" s="18"/>
      <c r="AE29" s="18">
        <v>611</v>
      </c>
      <c r="AF29" s="18">
        <v>917</v>
      </c>
      <c r="AG29" s="18" t="s">
        <v>41</v>
      </c>
      <c r="AH29" s="18" t="s">
        <v>168</v>
      </c>
      <c r="AI29" s="18" t="s">
        <v>41</v>
      </c>
      <c r="AJ29" s="18">
        <v>1</v>
      </c>
      <c r="AK29" s="18" t="s">
        <v>1521</v>
      </c>
      <c r="AL29" s="19" t="s">
        <v>41</v>
      </c>
    </row>
    <row r="30" spans="1:38">
      <c r="A30" s="17" t="s">
        <v>1008</v>
      </c>
      <c r="B30" s="18" t="s">
        <v>806</v>
      </c>
      <c r="C30" s="18">
        <v>1</v>
      </c>
      <c r="D30" s="18" t="s">
        <v>1009</v>
      </c>
      <c r="E30" s="18" t="s">
        <v>1010</v>
      </c>
      <c r="F30" s="18" t="s">
        <v>41</v>
      </c>
      <c r="G30" s="18" t="s">
        <v>148</v>
      </c>
      <c r="H30" s="18">
        <v>48</v>
      </c>
      <c r="I30" s="18">
        <v>115</v>
      </c>
      <c r="J30" s="18">
        <v>5200</v>
      </c>
      <c r="K30" s="18">
        <v>4570</v>
      </c>
      <c r="L30" s="18">
        <v>0</v>
      </c>
      <c r="M30" s="18">
        <v>0</v>
      </c>
      <c r="N30" s="18">
        <v>0</v>
      </c>
      <c r="O30" s="18">
        <v>0</v>
      </c>
      <c r="P30" s="18">
        <v>1070</v>
      </c>
      <c r="Q30" s="18">
        <f>#REF!/#REF!</f>
        <v>9.304347826086957</v>
      </c>
      <c r="R30" s="18"/>
      <c r="S30" s="18"/>
      <c r="T30" s="18"/>
      <c r="U30" s="18"/>
      <c r="V30" s="18"/>
      <c r="W30" s="18"/>
      <c r="X30" s="18"/>
      <c r="Y30" s="18">
        <v>1</v>
      </c>
      <c r="Z30" s="18">
        <v>0</v>
      </c>
      <c r="AA30" s="18">
        <v>0</v>
      </c>
      <c r="AB30" s="18">
        <v>360</v>
      </c>
      <c r="AC30" s="18"/>
      <c r="AD30" s="18"/>
      <c r="AE30" s="18">
        <v>104</v>
      </c>
      <c r="AF30" s="18">
        <v>156</v>
      </c>
      <c r="AG30" s="18" t="s">
        <v>148</v>
      </c>
      <c r="AH30" s="18" t="s">
        <v>41</v>
      </c>
      <c r="AI30" s="18" t="s">
        <v>41</v>
      </c>
      <c r="AJ30" s="18">
        <v>1</v>
      </c>
      <c r="AK30" s="18" t="s">
        <v>1568</v>
      </c>
      <c r="AL30" s="19" t="s">
        <v>41</v>
      </c>
    </row>
    <row r="31" spans="1:38">
      <c r="A31" s="17" t="s">
        <v>288</v>
      </c>
      <c r="B31" s="18" t="s">
        <v>38</v>
      </c>
      <c r="C31" s="18">
        <v>1</v>
      </c>
      <c r="D31" s="18" t="s">
        <v>289</v>
      </c>
      <c r="E31" s="18" t="s">
        <v>290</v>
      </c>
      <c r="F31" s="18" t="s">
        <v>41</v>
      </c>
      <c r="G31" s="18" t="s">
        <v>291</v>
      </c>
      <c r="H31" s="18">
        <v>60</v>
      </c>
      <c r="I31" s="18">
        <v>240</v>
      </c>
      <c r="J31" s="18">
        <v>2200</v>
      </c>
      <c r="K31" s="18">
        <v>6600</v>
      </c>
      <c r="L31" s="18">
        <v>0</v>
      </c>
      <c r="M31" s="18">
        <v>0</v>
      </c>
      <c r="N31" s="18">
        <v>0</v>
      </c>
      <c r="O31" s="18">
        <v>0</v>
      </c>
      <c r="P31" s="18">
        <v>2200</v>
      </c>
      <c r="Q31" s="18">
        <f>#REF!/#REF!</f>
        <v>9.1666666666666661</v>
      </c>
      <c r="R31" s="18"/>
      <c r="S31" s="18"/>
      <c r="T31" s="18"/>
      <c r="U31" s="18"/>
      <c r="V31" s="18"/>
      <c r="W31" s="18"/>
      <c r="X31" s="18"/>
      <c r="Y31" s="18">
        <v>1</v>
      </c>
      <c r="Z31" s="18">
        <v>150</v>
      </c>
      <c r="AA31" s="18">
        <v>600</v>
      </c>
      <c r="AB31" s="18"/>
      <c r="AC31" s="18">
        <v>600</v>
      </c>
      <c r="AD31" s="18"/>
      <c r="AE31" s="18">
        <v>617</v>
      </c>
      <c r="AF31" s="18">
        <v>926</v>
      </c>
      <c r="AG31" s="18" t="s">
        <v>41</v>
      </c>
      <c r="AH31" s="18" t="s">
        <v>168</v>
      </c>
      <c r="AI31" s="18" t="s">
        <v>41</v>
      </c>
      <c r="AJ31" s="18">
        <v>1</v>
      </c>
      <c r="AK31" s="18" t="s">
        <v>1331</v>
      </c>
      <c r="AL31" s="19" t="s">
        <v>41</v>
      </c>
    </row>
    <row r="32" spans="1:38">
      <c r="A32" s="17" t="s">
        <v>950</v>
      </c>
      <c r="B32" s="18" t="s">
        <v>806</v>
      </c>
      <c r="C32" s="18">
        <v>1</v>
      </c>
      <c r="D32" s="18" t="s">
        <v>951</v>
      </c>
      <c r="E32" s="18" t="s">
        <v>348</v>
      </c>
      <c r="F32" s="18" t="s">
        <v>41</v>
      </c>
      <c r="G32" s="18" t="s">
        <v>349</v>
      </c>
      <c r="H32" s="18">
        <v>39</v>
      </c>
      <c r="I32" s="18">
        <v>480</v>
      </c>
      <c r="J32" s="18">
        <v>6200</v>
      </c>
      <c r="K32" s="18">
        <v>11400</v>
      </c>
      <c r="L32" s="18">
        <v>0</v>
      </c>
      <c r="M32" s="18">
        <v>0</v>
      </c>
      <c r="N32" s="18">
        <v>0</v>
      </c>
      <c r="O32" s="18">
        <v>0</v>
      </c>
      <c r="P32" s="18">
        <v>4350</v>
      </c>
      <c r="Q32" s="18">
        <f>#REF!/#REF!</f>
        <v>9.0625</v>
      </c>
      <c r="R32" s="18"/>
      <c r="S32" s="18"/>
      <c r="T32" s="18"/>
      <c r="U32" s="18"/>
      <c r="V32" s="18"/>
      <c r="W32" s="18"/>
      <c r="X32" s="18"/>
      <c r="Y32" s="18">
        <v>1</v>
      </c>
      <c r="Z32" s="18">
        <v>231</v>
      </c>
      <c r="AA32" s="18">
        <v>630</v>
      </c>
      <c r="AB32" s="18"/>
      <c r="AC32" s="18"/>
      <c r="AD32" s="18"/>
      <c r="AE32" s="18">
        <v>630</v>
      </c>
      <c r="AF32" s="18">
        <v>945</v>
      </c>
      <c r="AG32" s="18" t="s">
        <v>41</v>
      </c>
      <c r="AH32" s="18" t="s">
        <v>128</v>
      </c>
      <c r="AI32" s="18" t="s">
        <v>41</v>
      </c>
      <c r="AJ32" s="18">
        <v>1</v>
      </c>
      <c r="AK32" s="18" t="s">
        <v>1537</v>
      </c>
      <c r="AL32" s="19" t="s">
        <v>41</v>
      </c>
    </row>
    <row r="33" spans="1:38">
      <c r="A33" s="17" t="s">
        <v>346</v>
      </c>
      <c r="B33" s="18" t="s">
        <v>38</v>
      </c>
      <c r="C33" s="18">
        <v>1</v>
      </c>
      <c r="D33" s="18" t="s">
        <v>347</v>
      </c>
      <c r="E33" s="18" t="s">
        <v>348</v>
      </c>
      <c r="F33" s="18" t="s">
        <v>41</v>
      </c>
      <c r="G33" s="18" t="s">
        <v>349</v>
      </c>
      <c r="H33" s="18">
        <v>64</v>
      </c>
      <c r="I33" s="18">
        <v>470</v>
      </c>
      <c r="J33" s="18">
        <v>6200</v>
      </c>
      <c r="K33" s="18">
        <v>9670</v>
      </c>
      <c r="L33" s="18">
        <v>0</v>
      </c>
      <c r="M33" s="18">
        <v>0</v>
      </c>
      <c r="N33" s="18">
        <v>0</v>
      </c>
      <c r="O33" s="18">
        <v>0</v>
      </c>
      <c r="P33" s="18">
        <v>4250</v>
      </c>
      <c r="Q33" s="18">
        <f>#REF!/#REF!</f>
        <v>9.0425531914893611</v>
      </c>
      <c r="R33" s="18"/>
      <c r="S33" s="18"/>
      <c r="T33" s="18"/>
      <c r="U33" s="18"/>
      <c r="V33" s="18"/>
      <c r="W33" s="18"/>
      <c r="X33" s="18"/>
      <c r="Y33" s="18">
        <v>1</v>
      </c>
      <c r="Z33" s="18">
        <v>233</v>
      </c>
      <c r="AA33" s="18">
        <v>630</v>
      </c>
      <c r="AB33" s="18"/>
      <c r="AC33" s="18"/>
      <c r="AD33" s="18"/>
      <c r="AE33" s="18">
        <v>630</v>
      </c>
      <c r="AF33" s="18">
        <v>945</v>
      </c>
      <c r="AG33" s="18" t="s">
        <v>41</v>
      </c>
      <c r="AH33" s="18" t="s">
        <v>128</v>
      </c>
      <c r="AI33" s="18" t="s">
        <v>41</v>
      </c>
      <c r="AJ33" s="18">
        <v>1</v>
      </c>
      <c r="AK33" s="18" t="s">
        <v>1346</v>
      </c>
      <c r="AL33" s="19" t="s">
        <v>41</v>
      </c>
    </row>
    <row r="34" spans="1:38">
      <c r="A34" s="17" t="s">
        <v>1107</v>
      </c>
      <c r="B34" s="18" t="s">
        <v>806</v>
      </c>
      <c r="C34" s="18">
        <v>2</v>
      </c>
      <c r="D34" s="18" t="s">
        <v>1108</v>
      </c>
      <c r="E34" s="18" t="s">
        <v>1109</v>
      </c>
      <c r="F34" s="18" t="s">
        <v>41</v>
      </c>
      <c r="G34" s="18" t="s">
        <v>1110</v>
      </c>
      <c r="H34" s="18">
        <v>3</v>
      </c>
      <c r="I34" s="18">
        <v>69</v>
      </c>
      <c r="J34" s="18">
        <v>5800</v>
      </c>
      <c r="K34" s="18">
        <v>7900</v>
      </c>
      <c r="L34" s="18">
        <v>0</v>
      </c>
      <c r="M34" s="18">
        <v>0</v>
      </c>
      <c r="N34" s="18">
        <v>0</v>
      </c>
      <c r="O34" s="18">
        <v>76</v>
      </c>
      <c r="P34" s="18">
        <v>620</v>
      </c>
      <c r="Q34" s="18">
        <f>#REF!/#REF!</f>
        <v>8.9855072463768124</v>
      </c>
      <c r="R34" s="18">
        <v>1</v>
      </c>
      <c r="S34" s="18"/>
      <c r="T34" s="18"/>
      <c r="U34" s="18"/>
      <c r="V34" s="18"/>
      <c r="W34" s="18"/>
      <c r="X34" s="18"/>
      <c r="Y34" s="18"/>
      <c r="Z34" s="18">
        <v>2000</v>
      </c>
      <c r="AA34" s="18">
        <v>42</v>
      </c>
      <c r="AB34" s="18"/>
      <c r="AC34" s="18"/>
      <c r="AD34" s="18"/>
      <c r="AE34" s="18">
        <v>260</v>
      </c>
      <c r="AF34" s="18">
        <v>390</v>
      </c>
      <c r="AG34" s="18" t="s">
        <v>41</v>
      </c>
      <c r="AH34" s="18" t="s">
        <v>773</v>
      </c>
      <c r="AI34" s="18" t="s">
        <v>41</v>
      </c>
      <c r="AJ34" s="18">
        <v>1</v>
      </c>
      <c r="AK34" s="18" t="s">
        <v>1615</v>
      </c>
      <c r="AL34" s="19" t="s">
        <v>41</v>
      </c>
    </row>
    <row r="35" spans="1:38">
      <c r="A35" s="17" t="s">
        <v>1036</v>
      </c>
      <c r="B35" s="18" t="s">
        <v>806</v>
      </c>
      <c r="C35" s="18">
        <v>1</v>
      </c>
      <c r="D35" s="18" t="s">
        <v>1037</v>
      </c>
      <c r="E35" s="18" t="s">
        <v>1038</v>
      </c>
      <c r="F35" s="18" t="s">
        <v>41</v>
      </c>
      <c r="G35" s="18" t="s">
        <v>341</v>
      </c>
      <c r="H35" s="18">
        <v>35</v>
      </c>
      <c r="I35" s="18">
        <v>315</v>
      </c>
      <c r="J35" s="18">
        <v>6100</v>
      </c>
      <c r="K35" s="18">
        <v>5240</v>
      </c>
      <c r="L35" s="18">
        <v>0</v>
      </c>
      <c r="M35" s="18">
        <v>0</v>
      </c>
      <c r="N35" s="18">
        <v>0</v>
      </c>
      <c r="O35" s="18">
        <v>0</v>
      </c>
      <c r="P35" s="18">
        <v>2800</v>
      </c>
      <c r="Q35" s="18">
        <f>#REF!/#REF!</f>
        <v>8.8888888888888893</v>
      </c>
      <c r="R35" s="18"/>
      <c r="S35" s="18"/>
      <c r="T35" s="18"/>
      <c r="U35" s="18"/>
      <c r="V35" s="18"/>
      <c r="W35" s="18"/>
      <c r="X35" s="18"/>
      <c r="Y35" s="18">
        <v>1</v>
      </c>
      <c r="Z35" s="18">
        <v>190</v>
      </c>
      <c r="AA35" s="18">
        <v>840</v>
      </c>
      <c r="AB35" s="18"/>
      <c r="AC35" s="18"/>
      <c r="AD35" s="18"/>
      <c r="AE35" s="18">
        <v>375</v>
      </c>
      <c r="AF35" s="18">
        <v>850</v>
      </c>
      <c r="AG35" s="18" t="s">
        <v>41</v>
      </c>
      <c r="AH35" s="18" t="s">
        <v>88</v>
      </c>
      <c r="AI35" s="18" t="s">
        <v>41</v>
      </c>
      <c r="AJ35" s="18">
        <v>1</v>
      </c>
      <c r="AK35" s="18" t="s">
        <v>1578</v>
      </c>
      <c r="AL35" s="19" t="s">
        <v>41</v>
      </c>
    </row>
    <row r="36" spans="1:38">
      <c r="A36" s="17" t="s">
        <v>309</v>
      </c>
      <c r="B36" s="18" t="s">
        <v>38</v>
      </c>
      <c r="C36" s="18">
        <v>1</v>
      </c>
      <c r="D36" s="18" t="s">
        <v>310</v>
      </c>
      <c r="E36" s="18" t="s">
        <v>311</v>
      </c>
      <c r="F36" s="18" t="s">
        <v>41</v>
      </c>
      <c r="G36" s="18" t="s">
        <v>312</v>
      </c>
      <c r="H36" s="18">
        <v>35</v>
      </c>
      <c r="I36" s="18">
        <v>32</v>
      </c>
      <c r="J36" s="18">
        <v>850</v>
      </c>
      <c r="K36" s="18">
        <v>750</v>
      </c>
      <c r="L36" s="18">
        <v>0</v>
      </c>
      <c r="M36" s="18">
        <v>0</v>
      </c>
      <c r="N36" s="18">
        <v>0</v>
      </c>
      <c r="O36" s="18">
        <v>0</v>
      </c>
      <c r="P36" s="18">
        <v>280</v>
      </c>
      <c r="Q36" s="18">
        <f>#REF!/#REF!</f>
        <v>8.75</v>
      </c>
      <c r="R36" s="18"/>
      <c r="S36" s="18"/>
      <c r="T36" s="18"/>
      <c r="U36" s="18"/>
      <c r="V36" s="18"/>
      <c r="W36" s="18"/>
      <c r="X36" s="18"/>
      <c r="Y36" s="18">
        <v>1</v>
      </c>
      <c r="Z36" s="18">
        <v>0</v>
      </c>
      <c r="AA36" s="18">
        <v>0</v>
      </c>
      <c r="AB36" s="18"/>
      <c r="AC36" s="18"/>
      <c r="AD36" s="18"/>
      <c r="AE36" s="18">
        <v>560</v>
      </c>
      <c r="AF36" s="18">
        <v>840</v>
      </c>
      <c r="AG36" s="18" t="s">
        <v>109</v>
      </c>
      <c r="AH36" s="18" t="s">
        <v>41</v>
      </c>
      <c r="AI36" s="18" t="s">
        <v>41</v>
      </c>
      <c r="AJ36" s="18">
        <v>1</v>
      </c>
      <c r="AK36" s="18" t="s">
        <v>1336</v>
      </c>
      <c r="AL36" s="19" t="s">
        <v>41</v>
      </c>
    </row>
    <row r="37" spans="1:38">
      <c r="A37" s="17" t="s">
        <v>936</v>
      </c>
      <c r="B37" s="18" t="s">
        <v>806</v>
      </c>
      <c r="C37" s="18">
        <v>1</v>
      </c>
      <c r="D37" s="18" t="s">
        <v>310</v>
      </c>
      <c r="E37" s="18" t="s">
        <v>311</v>
      </c>
      <c r="F37" s="18" t="s">
        <v>41</v>
      </c>
      <c r="G37" s="18" t="s">
        <v>312</v>
      </c>
      <c r="H37" s="18">
        <v>21</v>
      </c>
      <c r="I37" s="18">
        <v>32</v>
      </c>
      <c r="J37" s="18">
        <v>850</v>
      </c>
      <c r="K37" s="18">
        <v>750</v>
      </c>
      <c r="L37" s="18">
        <v>0</v>
      </c>
      <c r="M37" s="18">
        <v>0</v>
      </c>
      <c r="N37" s="18">
        <v>0</v>
      </c>
      <c r="O37" s="18">
        <v>0</v>
      </c>
      <c r="P37" s="18">
        <v>280</v>
      </c>
      <c r="Q37" s="18">
        <f>#REF!/#REF!</f>
        <v>8.75</v>
      </c>
      <c r="R37" s="18"/>
      <c r="S37" s="18"/>
      <c r="T37" s="18"/>
      <c r="U37" s="18"/>
      <c r="V37" s="18"/>
      <c r="W37" s="18"/>
      <c r="X37" s="18"/>
      <c r="Y37" s="18">
        <v>1</v>
      </c>
      <c r="Z37" s="18">
        <v>0</v>
      </c>
      <c r="AA37" s="18">
        <v>0</v>
      </c>
      <c r="AB37" s="18"/>
      <c r="AC37" s="18"/>
      <c r="AD37" s="18"/>
      <c r="AE37" s="18">
        <v>540</v>
      </c>
      <c r="AF37" s="18">
        <v>810</v>
      </c>
      <c r="AG37" s="18" t="s">
        <v>109</v>
      </c>
      <c r="AH37" s="18" t="s">
        <v>41</v>
      </c>
      <c r="AI37" s="18" t="s">
        <v>41</v>
      </c>
      <c r="AJ37" s="18">
        <v>1</v>
      </c>
      <c r="AK37" s="18" t="s">
        <v>1530</v>
      </c>
      <c r="AL37" s="19" t="s">
        <v>41</v>
      </c>
    </row>
    <row r="38" spans="1:38">
      <c r="A38" s="17" t="s">
        <v>991</v>
      </c>
      <c r="B38" s="18" t="s">
        <v>806</v>
      </c>
      <c r="C38" s="18">
        <v>1</v>
      </c>
      <c r="D38" s="18" t="s">
        <v>992</v>
      </c>
      <c r="E38" s="18" t="s">
        <v>993</v>
      </c>
      <c r="F38" s="18" t="s">
        <v>41</v>
      </c>
      <c r="G38" s="18" t="s">
        <v>994</v>
      </c>
      <c r="H38" s="18">
        <v>95</v>
      </c>
      <c r="I38" s="18">
        <v>195</v>
      </c>
      <c r="J38" s="18">
        <v>1750</v>
      </c>
      <c r="K38" s="18">
        <v>5440</v>
      </c>
      <c r="L38" s="18">
        <v>0</v>
      </c>
      <c r="M38" s="18">
        <v>0</v>
      </c>
      <c r="N38" s="18">
        <v>0</v>
      </c>
      <c r="O38" s="18">
        <v>0</v>
      </c>
      <c r="P38" s="18">
        <v>1670</v>
      </c>
      <c r="Q38" s="18">
        <f>#REF!/#REF!</f>
        <v>8.5641025641025639</v>
      </c>
      <c r="R38" s="18"/>
      <c r="S38" s="18"/>
      <c r="T38" s="18"/>
      <c r="U38" s="18"/>
      <c r="V38" s="18"/>
      <c r="W38" s="18"/>
      <c r="X38" s="18"/>
      <c r="Y38" s="18">
        <v>1</v>
      </c>
      <c r="Z38" s="18">
        <v>321</v>
      </c>
      <c r="AA38" s="18">
        <v>480</v>
      </c>
      <c r="AB38" s="18"/>
      <c r="AC38" s="18"/>
      <c r="AD38" s="18"/>
      <c r="AE38" s="18">
        <v>475</v>
      </c>
      <c r="AF38" s="18">
        <v>713</v>
      </c>
      <c r="AG38" s="18" t="s">
        <v>41</v>
      </c>
      <c r="AH38" s="18" t="s">
        <v>592</v>
      </c>
      <c r="AI38" s="18" t="s">
        <v>41</v>
      </c>
      <c r="AJ38" s="18">
        <v>1</v>
      </c>
      <c r="AK38" s="18" t="s">
        <v>1558</v>
      </c>
      <c r="AL38" s="19" t="s">
        <v>41</v>
      </c>
    </row>
    <row r="39" spans="1:38">
      <c r="A39" s="17" t="s">
        <v>1184</v>
      </c>
      <c r="B39" s="18" t="s">
        <v>806</v>
      </c>
      <c r="C39" s="18">
        <v>1</v>
      </c>
      <c r="D39" s="18" t="s">
        <v>1091</v>
      </c>
      <c r="E39" s="18" t="s">
        <v>747</v>
      </c>
      <c r="F39" s="18" t="s">
        <v>41</v>
      </c>
      <c r="G39" s="18" t="s">
        <v>291</v>
      </c>
      <c r="H39" s="18">
        <v>15</v>
      </c>
      <c r="I39" s="18">
        <v>170</v>
      </c>
      <c r="J39" s="18">
        <v>1800</v>
      </c>
      <c r="K39" s="18">
        <v>3750</v>
      </c>
      <c r="L39" s="18">
        <v>0</v>
      </c>
      <c r="M39" s="18">
        <v>0</v>
      </c>
      <c r="N39" s="18">
        <v>0</v>
      </c>
      <c r="O39" s="18">
        <v>0</v>
      </c>
      <c r="P39" s="18">
        <v>1440</v>
      </c>
      <c r="Q39" s="18">
        <f>#REF!/#REF!</f>
        <v>8.4705882352941178</v>
      </c>
      <c r="R39" s="18"/>
      <c r="S39" s="18"/>
      <c r="T39" s="18"/>
      <c r="U39" s="18"/>
      <c r="V39" s="18"/>
      <c r="W39" s="18"/>
      <c r="X39" s="18"/>
      <c r="Y39" s="18">
        <v>1</v>
      </c>
      <c r="Z39" s="18">
        <v>187</v>
      </c>
      <c r="AA39" s="18">
        <v>500</v>
      </c>
      <c r="AB39" s="18"/>
      <c r="AC39" s="18">
        <v>400</v>
      </c>
      <c r="AD39" s="18"/>
      <c r="AE39" s="18">
        <v>495</v>
      </c>
      <c r="AF39" s="18">
        <v>743</v>
      </c>
      <c r="AG39" s="18" t="s">
        <v>41</v>
      </c>
      <c r="AH39" s="18" t="s">
        <v>168</v>
      </c>
      <c r="AI39" s="18" t="s">
        <v>41</v>
      </c>
      <c r="AJ39" s="18">
        <v>1</v>
      </c>
      <c r="AK39" s="18" t="s">
        <v>1650</v>
      </c>
      <c r="AL39" s="19" t="s">
        <v>41</v>
      </c>
    </row>
    <row r="40" spans="1:38">
      <c r="A40" s="17" t="s">
        <v>801</v>
      </c>
      <c r="B40" s="18" t="s">
        <v>38</v>
      </c>
      <c r="C40" s="18">
        <v>2</v>
      </c>
      <c r="D40" s="18" t="s">
        <v>802</v>
      </c>
      <c r="E40" s="18" t="s">
        <v>803</v>
      </c>
      <c r="F40" s="18" t="s">
        <v>41</v>
      </c>
      <c r="G40" s="18" t="s">
        <v>804</v>
      </c>
      <c r="H40" s="18">
        <v>39</v>
      </c>
      <c r="I40" s="18">
        <v>350</v>
      </c>
      <c r="J40" s="18">
        <v>6100</v>
      </c>
      <c r="K40" s="18">
        <v>7250</v>
      </c>
      <c r="L40" s="18">
        <v>0</v>
      </c>
      <c r="M40" s="18">
        <v>0</v>
      </c>
      <c r="N40" s="18">
        <v>0</v>
      </c>
      <c r="O40" s="18">
        <v>47</v>
      </c>
      <c r="P40" s="18">
        <v>2950</v>
      </c>
      <c r="Q40" s="18">
        <f>#REF!/#REF!</f>
        <v>8.4285714285714288</v>
      </c>
      <c r="R40" s="18"/>
      <c r="S40" s="18"/>
      <c r="T40" s="18"/>
      <c r="U40" s="18"/>
      <c r="V40" s="18"/>
      <c r="W40" s="18"/>
      <c r="X40" s="18"/>
      <c r="Y40" s="18"/>
      <c r="Z40" s="18">
        <v>129</v>
      </c>
      <c r="AA40" s="18">
        <v>280</v>
      </c>
      <c r="AB40" s="18"/>
      <c r="AC40" s="18"/>
      <c r="AD40" s="18"/>
      <c r="AE40" s="18">
        <v>332</v>
      </c>
      <c r="AF40" s="18">
        <v>497</v>
      </c>
      <c r="AG40" s="18" t="s">
        <v>41</v>
      </c>
      <c r="AH40" s="18" t="s">
        <v>240</v>
      </c>
      <c r="AI40" s="18" t="s">
        <v>41</v>
      </c>
      <c r="AJ40" s="18">
        <v>1</v>
      </c>
      <c r="AK40" s="18" t="s">
        <v>1472</v>
      </c>
      <c r="AL40" s="19" t="s">
        <v>41</v>
      </c>
    </row>
    <row r="41" spans="1:38">
      <c r="A41" s="17" t="s">
        <v>1099</v>
      </c>
      <c r="B41" s="18" t="s">
        <v>806</v>
      </c>
      <c r="C41" s="18">
        <v>1</v>
      </c>
      <c r="D41" s="18" t="s">
        <v>1100</v>
      </c>
      <c r="E41" s="18" t="s">
        <v>718</v>
      </c>
      <c r="F41" s="18" t="s">
        <v>41</v>
      </c>
      <c r="G41" s="18" t="s">
        <v>719</v>
      </c>
      <c r="H41" s="18">
        <v>20</v>
      </c>
      <c r="I41" s="18">
        <v>235</v>
      </c>
      <c r="J41" s="18">
        <v>2400</v>
      </c>
      <c r="K41" s="18">
        <v>3310</v>
      </c>
      <c r="L41" s="18">
        <v>0</v>
      </c>
      <c r="M41" s="18">
        <v>0</v>
      </c>
      <c r="N41" s="18">
        <v>0</v>
      </c>
      <c r="O41" s="18">
        <v>73</v>
      </c>
      <c r="P41" s="18">
        <v>1970</v>
      </c>
      <c r="Q41" s="18">
        <f>#REF!/#REF!</f>
        <v>8.3829787234042552</v>
      </c>
      <c r="R41" s="18"/>
      <c r="S41" s="18"/>
      <c r="T41" s="18"/>
      <c r="U41" s="18"/>
      <c r="V41" s="18"/>
      <c r="W41" s="18"/>
      <c r="X41" s="18"/>
      <c r="Y41" s="18"/>
      <c r="Z41" s="18">
        <v>83</v>
      </c>
      <c r="AA41" s="18">
        <v>350</v>
      </c>
      <c r="AB41" s="18"/>
      <c r="AC41" s="18"/>
      <c r="AD41" s="18"/>
      <c r="AE41" s="18">
        <v>325</v>
      </c>
      <c r="AF41" s="18">
        <v>488</v>
      </c>
      <c r="AG41" s="18" t="s">
        <v>41</v>
      </c>
      <c r="AH41" s="18" t="s">
        <v>124</v>
      </c>
      <c r="AI41" s="18" t="s">
        <v>41</v>
      </c>
      <c r="AJ41" s="18">
        <v>1</v>
      </c>
      <c r="AK41" s="18" t="s">
        <v>1611</v>
      </c>
      <c r="AL41" s="19" t="s">
        <v>41</v>
      </c>
    </row>
    <row r="42" spans="1:38">
      <c r="A42" s="17" t="s">
        <v>105</v>
      </c>
      <c r="B42" s="18" t="s">
        <v>38</v>
      </c>
      <c r="C42" s="18">
        <v>1</v>
      </c>
      <c r="D42" s="18" t="s">
        <v>106</v>
      </c>
      <c r="E42" s="18" t="s">
        <v>107</v>
      </c>
      <c r="F42" s="18" t="s">
        <v>41</v>
      </c>
      <c r="G42" s="18" t="s">
        <v>108</v>
      </c>
      <c r="H42" s="18">
        <v>35</v>
      </c>
      <c r="I42" s="18">
        <v>200</v>
      </c>
      <c r="J42" s="18">
        <v>1500</v>
      </c>
      <c r="K42" s="18">
        <v>1800</v>
      </c>
      <c r="L42" s="18">
        <v>0</v>
      </c>
      <c r="M42" s="18">
        <v>0</v>
      </c>
      <c r="N42" s="18">
        <v>0</v>
      </c>
      <c r="O42" s="18">
        <v>0</v>
      </c>
      <c r="P42" s="18">
        <v>1610</v>
      </c>
      <c r="Q42" s="18">
        <f>#REF!/#REF!</f>
        <v>8.0500000000000007</v>
      </c>
      <c r="R42" s="18"/>
      <c r="S42" s="18"/>
      <c r="T42" s="18"/>
      <c r="U42" s="18"/>
      <c r="V42" s="18"/>
      <c r="W42" s="18"/>
      <c r="X42" s="18"/>
      <c r="Y42" s="18">
        <v>1</v>
      </c>
      <c r="Z42" s="18">
        <v>0</v>
      </c>
      <c r="AA42" s="18">
        <v>0</v>
      </c>
      <c r="AB42" s="18"/>
      <c r="AC42" s="18"/>
      <c r="AD42" s="18"/>
      <c r="AE42" s="18">
        <v>286</v>
      </c>
      <c r="AF42" s="18">
        <v>429</v>
      </c>
      <c r="AG42" s="18" t="s">
        <v>109</v>
      </c>
      <c r="AH42" s="18" t="s">
        <v>41</v>
      </c>
      <c r="AI42" s="18" t="s">
        <v>41</v>
      </c>
      <c r="AJ42" s="18">
        <v>1</v>
      </c>
      <c r="AK42" s="18" t="s">
        <v>1286</v>
      </c>
      <c r="AL42" s="19" t="s">
        <v>41</v>
      </c>
    </row>
    <row r="43" spans="1:38">
      <c r="A43" s="17" t="s">
        <v>1059</v>
      </c>
      <c r="B43" s="18" t="s">
        <v>806</v>
      </c>
      <c r="C43" s="18">
        <v>2</v>
      </c>
      <c r="D43" s="18" t="s">
        <v>1060</v>
      </c>
      <c r="E43" s="18" t="s">
        <v>537</v>
      </c>
      <c r="F43" s="18" t="s">
        <v>41</v>
      </c>
      <c r="G43" s="18" t="s">
        <v>538</v>
      </c>
      <c r="H43" s="18">
        <v>16</v>
      </c>
      <c r="I43" s="18">
        <v>200</v>
      </c>
      <c r="J43" s="18">
        <v>3300</v>
      </c>
      <c r="K43" s="18">
        <v>4800</v>
      </c>
      <c r="L43" s="18">
        <v>0</v>
      </c>
      <c r="M43" s="18">
        <v>0</v>
      </c>
      <c r="N43" s="18">
        <v>200</v>
      </c>
      <c r="O43" s="18">
        <v>58</v>
      </c>
      <c r="P43" s="18">
        <v>1600</v>
      </c>
      <c r="Q43" s="18">
        <f>#REF!/#REF!</f>
        <v>8</v>
      </c>
      <c r="R43" s="18"/>
      <c r="S43" s="18"/>
      <c r="T43" s="18"/>
      <c r="U43" s="18"/>
      <c r="V43" s="18">
        <v>1</v>
      </c>
      <c r="W43" s="18"/>
      <c r="X43" s="18"/>
      <c r="Y43" s="18"/>
      <c r="Z43" s="18">
        <v>0</v>
      </c>
      <c r="AA43" s="18">
        <v>0</v>
      </c>
      <c r="AB43" s="18"/>
      <c r="AC43" s="18"/>
      <c r="AD43" s="18"/>
      <c r="AE43" s="18">
        <v>300</v>
      </c>
      <c r="AF43" s="18">
        <v>450</v>
      </c>
      <c r="AG43" s="18" t="s">
        <v>41</v>
      </c>
      <c r="AH43" s="18" t="s">
        <v>41</v>
      </c>
      <c r="AI43" s="18" t="s">
        <v>1591</v>
      </c>
      <c r="AJ43" s="18">
        <v>1</v>
      </c>
      <c r="AK43" s="18" t="s">
        <v>1592</v>
      </c>
      <c r="AL43" s="19" t="s">
        <v>41</v>
      </c>
    </row>
    <row r="44" spans="1:38">
      <c r="A44" s="17" t="s">
        <v>1101</v>
      </c>
      <c r="B44" s="18" t="s">
        <v>806</v>
      </c>
      <c r="C44" s="18">
        <v>2</v>
      </c>
      <c r="D44" s="18" t="s">
        <v>1102</v>
      </c>
      <c r="E44" s="18" t="s">
        <v>212</v>
      </c>
      <c r="F44" s="18" t="s">
        <v>41</v>
      </c>
      <c r="G44" s="18" t="s">
        <v>213</v>
      </c>
      <c r="H44" s="18">
        <v>24</v>
      </c>
      <c r="I44" s="18">
        <v>665</v>
      </c>
      <c r="J44" s="18">
        <v>10000</v>
      </c>
      <c r="K44" s="18">
        <v>11500</v>
      </c>
      <c r="L44" s="18">
        <v>0</v>
      </c>
      <c r="M44" s="18">
        <v>0</v>
      </c>
      <c r="N44" s="18">
        <v>0</v>
      </c>
      <c r="O44" s="18">
        <v>71</v>
      </c>
      <c r="P44" s="18">
        <v>5300</v>
      </c>
      <c r="Q44" s="18">
        <f>#REF!/#REF!</f>
        <v>7.969924812030075</v>
      </c>
      <c r="R44" s="18"/>
      <c r="S44" s="18"/>
      <c r="T44" s="18"/>
      <c r="U44" s="18"/>
      <c r="V44" s="18"/>
      <c r="W44" s="18"/>
      <c r="X44" s="18"/>
      <c r="Y44" s="18"/>
      <c r="Z44" s="18">
        <v>156</v>
      </c>
      <c r="AA44" s="18">
        <v>410</v>
      </c>
      <c r="AB44" s="18"/>
      <c r="AC44" s="18"/>
      <c r="AD44" s="18"/>
      <c r="AE44" s="18">
        <v>462</v>
      </c>
      <c r="AF44" s="18">
        <v>693</v>
      </c>
      <c r="AG44" s="18" t="s">
        <v>41</v>
      </c>
      <c r="AH44" s="18" t="s">
        <v>124</v>
      </c>
      <c r="AI44" s="18" t="s">
        <v>41</v>
      </c>
      <c r="AJ44" s="18">
        <v>1</v>
      </c>
      <c r="AK44" s="18" t="s">
        <v>1612</v>
      </c>
      <c r="AL44" s="19" t="s">
        <v>41</v>
      </c>
    </row>
    <row r="45" spans="1:38">
      <c r="A45" s="17" t="s">
        <v>716</v>
      </c>
      <c r="B45" s="18" t="s">
        <v>38</v>
      </c>
      <c r="C45" s="18">
        <v>1</v>
      </c>
      <c r="D45" s="18" t="s">
        <v>717</v>
      </c>
      <c r="E45" s="18" t="s">
        <v>718</v>
      </c>
      <c r="F45" s="18" t="s">
        <v>41</v>
      </c>
      <c r="G45" s="18" t="s">
        <v>719</v>
      </c>
      <c r="H45" s="18">
        <v>23</v>
      </c>
      <c r="I45" s="18">
        <v>225</v>
      </c>
      <c r="J45" s="18">
        <v>2000</v>
      </c>
      <c r="K45" s="18">
        <v>2900</v>
      </c>
      <c r="L45" s="18">
        <v>0</v>
      </c>
      <c r="M45" s="18">
        <v>0</v>
      </c>
      <c r="N45" s="18">
        <v>0</v>
      </c>
      <c r="O45" s="18">
        <v>76</v>
      </c>
      <c r="P45" s="18">
        <v>1780</v>
      </c>
      <c r="Q45" s="18">
        <f>#REF!/#REF!</f>
        <v>7.9111111111111114</v>
      </c>
      <c r="R45" s="18"/>
      <c r="S45" s="18"/>
      <c r="T45" s="18"/>
      <c r="U45" s="18"/>
      <c r="V45" s="18"/>
      <c r="W45" s="18"/>
      <c r="X45" s="18"/>
      <c r="Y45" s="18"/>
      <c r="Z45" s="18">
        <v>83</v>
      </c>
      <c r="AA45" s="18">
        <v>350</v>
      </c>
      <c r="AB45" s="18"/>
      <c r="AC45" s="18"/>
      <c r="AD45" s="18"/>
      <c r="AE45" s="18">
        <v>325</v>
      </c>
      <c r="AF45" s="18">
        <v>488</v>
      </c>
      <c r="AG45" s="18" t="s">
        <v>41</v>
      </c>
      <c r="AH45" s="18" t="s">
        <v>124</v>
      </c>
      <c r="AI45" s="18" t="s">
        <v>41</v>
      </c>
      <c r="AJ45" s="18">
        <v>1</v>
      </c>
      <c r="AK45" s="18" t="s">
        <v>1446</v>
      </c>
      <c r="AL45" s="19" t="s">
        <v>41</v>
      </c>
    </row>
    <row r="46" spans="1:38">
      <c r="A46" s="17" t="s">
        <v>1179</v>
      </c>
      <c r="B46" s="18" t="s">
        <v>806</v>
      </c>
      <c r="C46" s="18">
        <v>1</v>
      </c>
      <c r="D46" s="18" t="s">
        <v>1180</v>
      </c>
      <c r="E46" s="18" t="s">
        <v>418</v>
      </c>
      <c r="F46" s="18" t="s">
        <v>41</v>
      </c>
      <c r="G46" s="18" t="s">
        <v>419</v>
      </c>
      <c r="H46" s="18">
        <v>32</v>
      </c>
      <c r="I46" s="18">
        <v>140</v>
      </c>
      <c r="J46" s="18">
        <v>1150</v>
      </c>
      <c r="K46" s="18">
        <v>2100</v>
      </c>
      <c r="L46" s="18">
        <v>0</v>
      </c>
      <c r="M46" s="18">
        <v>0</v>
      </c>
      <c r="N46" s="18">
        <v>0</v>
      </c>
      <c r="O46" s="18">
        <v>45</v>
      </c>
      <c r="P46" s="18">
        <v>1100</v>
      </c>
      <c r="Q46" s="18">
        <f>#REF!/#REF!</f>
        <v>7.8571428571428568</v>
      </c>
      <c r="R46" s="18"/>
      <c r="S46" s="18"/>
      <c r="T46" s="18"/>
      <c r="U46" s="18"/>
      <c r="V46" s="18"/>
      <c r="W46" s="18"/>
      <c r="X46" s="18"/>
      <c r="Y46" s="18"/>
      <c r="Z46" s="18">
        <v>60</v>
      </c>
      <c r="AA46" s="18">
        <v>380</v>
      </c>
      <c r="AB46" s="18"/>
      <c r="AC46" s="18"/>
      <c r="AD46" s="18"/>
      <c r="AE46" s="18">
        <v>380</v>
      </c>
      <c r="AF46" s="18">
        <v>570</v>
      </c>
      <c r="AG46" s="18" t="s">
        <v>41</v>
      </c>
      <c r="AH46" s="18" t="s">
        <v>124</v>
      </c>
      <c r="AI46" s="18" t="s">
        <v>41</v>
      </c>
      <c r="AJ46" s="18">
        <v>1</v>
      </c>
      <c r="AK46" s="18" t="s">
        <v>1647</v>
      </c>
      <c r="AL46" s="19" t="s">
        <v>41</v>
      </c>
    </row>
    <row r="47" spans="1:38">
      <c r="A47" s="17" t="s">
        <v>881</v>
      </c>
      <c r="B47" s="18" t="s">
        <v>806</v>
      </c>
      <c r="C47" s="18">
        <v>1</v>
      </c>
      <c r="D47" s="18" t="s">
        <v>220</v>
      </c>
      <c r="E47" s="18" t="s">
        <v>216</v>
      </c>
      <c r="F47" s="18" t="s">
        <v>41</v>
      </c>
      <c r="G47" s="18" t="s">
        <v>221</v>
      </c>
      <c r="H47" s="18">
        <v>20</v>
      </c>
      <c r="I47" s="18">
        <v>190</v>
      </c>
      <c r="J47" s="18">
        <v>3000</v>
      </c>
      <c r="K47" s="18">
        <v>4580</v>
      </c>
      <c r="L47" s="18">
        <v>0</v>
      </c>
      <c r="M47" s="18">
        <v>11</v>
      </c>
      <c r="N47" s="18">
        <v>110</v>
      </c>
      <c r="O47" s="18">
        <v>61</v>
      </c>
      <c r="P47" s="18">
        <v>1490</v>
      </c>
      <c r="Q47" s="18">
        <f>#REF!/#REF!</f>
        <v>7.8421052631578947</v>
      </c>
      <c r="R47" s="18"/>
      <c r="S47" s="18"/>
      <c r="T47" s="18"/>
      <c r="U47" s="18">
        <v>1</v>
      </c>
      <c r="V47" s="18"/>
      <c r="W47" s="18"/>
      <c r="X47" s="18"/>
      <c r="Y47" s="18"/>
      <c r="Z47" s="18">
        <v>0</v>
      </c>
      <c r="AA47" s="18">
        <v>0</v>
      </c>
      <c r="AB47" s="18"/>
      <c r="AC47" s="18"/>
      <c r="AD47" s="18">
        <v>50</v>
      </c>
      <c r="AE47" s="18">
        <v>338</v>
      </c>
      <c r="AF47" s="18">
        <v>507</v>
      </c>
      <c r="AG47" s="18" t="s">
        <v>41</v>
      </c>
      <c r="AH47" s="18" t="s">
        <v>41</v>
      </c>
      <c r="AI47" s="18" t="s">
        <v>882</v>
      </c>
      <c r="AJ47" s="18">
        <v>1</v>
      </c>
      <c r="AK47" s="18" t="s">
        <v>1510</v>
      </c>
      <c r="AL47" s="19" t="s">
        <v>41</v>
      </c>
    </row>
    <row r="48" spans="1:38">
      <c r="A48" s="17" t="s">
        <v>653</v>
      </c>
      <c r="B48" s="18" t="s">
        <v>38</v>
      </c>
      <c r="C48" s="18">
        <v>2</v>
      </c>
      <c r="D48" s="18" t="s">
        <v>654</v>
      </c>
      <c r="E48" s="18" t="s">
        <v>655</v>
      </c>
      <c r="F48" s="18" t="s">
        <v>41</v>
      </c>
      <c r="G48" s="18" t="s">
        <v>656</v>
      </c>
      <c r="H48" s="18">
        <v>32</v>
      </c>
      <c r="I48" s="18">
        <v>125</v>
      </c>
      <c r="J48" s="18">
        <v>2000</v>
      </c>
      <c r="K48" s="18">
        <v>6200</v>
      </c>
      <c r="L48" s="18">
        <v>0</v>
      </c>
      <c r="M48" s="18">
        <v>0</v>
      </c>
      <c r="N48" s="18">
        <v>0</v>
      </c>
      <c r="O48" s="18">
        <v>57</v>
      </c>
      <c r="P48" s="18">
        <v>980</v>
      </c>
      <c r="Q48" s="18">
        <f>#REF!/#REF!</f>
        <v>7.84</v>
      </c>
      <c r="R48" s="18"/>
      <c r="S48" s="18"/>
      <c r="T48" s="18"/>
      <c r="U48" s="18"/>
      <c r="V48" s="18"/>
      <c r="W48" s="18"/>
      <c r="X48" s="18"/>
      <c r="Y48" s="18"/>
      <c r="Z48" s="18">
        <v>0</v>
      </c>
      <c r="AA48" s="18">
        <v>0</v>
      </c>
      <c r="AB48" s="18"/>
      <c r="AC48" s="18"/>
      <c r="AD48" s="18">
        <v>2300</v>
      </c>
      <c r="AE48" s="18">
        <v>900</v>
      </c>
      <c r="AF48" s="18">
        <v>1350</v>
      </c>
      <c r="AG48" s="18" t="s">
        <v>48</v>
      </c>
      <c r="AH48" s="18" t="s">
        <v>41</v>
      </c>
      <c r="AI48" s="18" t="s">
        <v>41</v>
      </c>
      <c r="AJ48" s="18">
        <v>1</v>
      </c>
      <c r="AK48" s="18" t="s">
        <v>1430</v>
      </c>
      <c r="AL48" s="19" t="s">
        <v>41</v>
      </c>
    </row>
    <row r="49" spans="1:38">
      <c r="A49" s="17" t="s">
        <v>416</v>
      </c>
      <c r="B49" s="18" t="s">
        <v>38</v>
      </c>
      <c r="C49" s="18">
        <v>1</v>
      </c>
      <c r="D49" s="18" t="s">
        <v>417</v>
      </c>
      <c r="E49" s="18" t="s">
        <v>418</v>
      </c>
      <c r="F49" s="18" t="s">
        <v>41</v>
      </c>
      <c r="G49" s="18" t="s">
        <v>419</v>
      </c>
      <c r="H49" s="18">
        <v>29</v>
      </c>
      <c r="I49" s="18">
        <v>130</v>
      </c>
      <c r="J49" s="18">
        <v>1300</v>
      </c>
      <c r="K49" s="18">
        <v>2200</v>
      </c>
      <c r="L49" s="18">
        <v>0</v>
      </c>
      <c r="M49" s="18">
        <v>0</v>
      </c>
      <c r="N49" s="18">
        <v>0</v>
      </c>
      <c r="O49" s="18">
        <v>46</v>
      </c>
      <c r="P49" s="18">
        <v>1000</v>
      </c>
      <c r="Q49" s="18">
        <f>#REF!/#REF!</f>
        <v>7.6923076923076925</v>
      </c>
      <c r="R49" s="18"/>
      <c r="S49" s="18"/>
      <c r="T49" s="18"/>
      <c r="U49" s="18"/>
      <c r="V49" s="18"/>
      <c r="W49" s="18"/>
      <c r="X49" s="18"/>
      <c r="Y49" s="18"/>
      <c r="Z49" s="18">
        <v>60</v>
      </c>
      <c r="AA49" s="18">
        <v>380</v>
      </c>
      <c r="AB49" s="18"/>
      <c r="AC49" s="18"/>
      <c r="AD49" s="18"/>
      <c r="AE49" s="18">
        <v>380</v>
      </c>
      <c r="AF49" s="18">
        <v>570</v>
      </c>
      <c r="AG49" s="18" t="s">
        <v>41</v>
      </c>
      <c r="AH49" s="18" t="s">
        <v>124</v>
      </c>
      <c r="AI49" s="18" t="s">
        <v>41</v>
      </c>
      <c r="AJ49" s="18">
        <v>1</v>
      </c>
      <c r="AK49" s="18" t="s">
        <v>1364</v>
      </c>
      <c r="AL49" s="19" t="s">
        <v>41</v>
      </c>
    </row>
    <row r="50" spans="1:38">
      <c r="A50" s="17" t="s">
        <v>535</v>
      </c>
      <c r="B50" s="18" t="s">
        <v>38</v>
      </c>
      <c r="C50" s="18">
        <v>2</v>
      </c>
      <c r="D50" s="18" t="s">
        <v>536</v>
      </c>
      <c r="E50" s="18" t="s">
        <v>537</v>
      </c>
      <c r="F50" s="18" t="s">
        <v>41</v>
      </c>
      <c r="G50" s="18" t="s">
        <v>538</v>
      </c>
      <c r="H50" s="18">
        <v>13</v>
      </c>
      <c r="I50" s="18">
        <v>190</v>
      </c>
      <c r="J50" s="18">
        <v>3200</v>
      </c>
      <c r="K50" s="18">
        <v>4720</v>
      </c>
      <c r="L50" s="18">
        <v>0</v>
      </c>
      <c r="M50" s="18">
        <v>0</v>
      </c>
      <c r="N50" s="18">
        <v>200</v>
      </c>
      <c r="O50" s="18">
        <v>66</v>
      </c>
      <c r="P50" s="18">
        <v>1460</v>
      </c>
      <c r="Q50" s="18">
        <f>#REF!/#REF!</f>
        <v>7.6842105263157894</v>
      </c>
      <c r="R50" s="18"/>
      <c r="S50" s="18"/>
      <c r="T50" s="18"/>
      <c r="U50" s="18"/>
      <c r="V50" s="18">
        <v>1</v>
      </c>
      <c r="W50" s="18"/>
      <c r="X50" s="18"/>
      <c r="Y50" s="18"/>
      <c r="Z50" s="18">
        <v>0</v>
      </c>
      <c r="AA50" s="18">
        <v>0</v>
      </c>
      <c r="AB50" s="18"/>
      <c r="AC50" s="18"/>
      <c r="AD50" s="18"/>
      <c r="AE50" s="18">
        <v>300</v>
      </c>
      <c r="AF50" s="18">
        <v>450</v>
      </c>
      <c r="AG50" s="18" t="s">
        <v>41</v>
      </c>
      <c r="AH50" s="18" t="s">
        <v>41</v>
      </c>
      <c r="AI50" s="18" t="s">
        <v>1400</v>
      </c>
      <c r="AJ50" s="18">
        <v>1</v>
      </c>
      <c r="AK50" s="18" t="s">
        <v>1401</v>
      </c>
      <c r="AL50" s="19" t="s">
        <v>41</v>
      </c>
    </row>
    <row r="51" spans="1:38">
      <c r="A51" s="17" t="s">
        <v>746</v>
      </c>
      <c r="B51" s="18" t="s">
        <v>38</v>
      </c>
      <c r="C51" s="18">
        <v>1</v>
      </c>
      <c r="D51" s="18" t="s">
        <v>597</v>
      </c>
      <c r="E51" s="18" t="s">
        <v>747</v>
      </c>
      <c r="F51" s="18" t="s">
        <v>41</v>
      </c>
      <c r="G51" s="18" t="s">
        <v>291</v>
      </c>
      <c r="H51" s="18">
        <v>7</v>
      </c>
      <c r="I51" s="18">
        <v>170</v>
      </c>
      <c r="J51" s="18">
        <v>1500</v>
      </c>
      <c r="K51" s="18">
        <v>3700</v>
      </c>
      <c r="L51" s="18">
        <v>0</v>
      </c>
      <c r="M51" s="18">
        <v>0</v>
      </c>
      <c r="N51" s="18">
        <v>0</v>
      </c>
      <c r="O51" s="18">
        <v>0</v>
      </c>
      <c r="P51" s="18">
        <v>1300</v>
      </c>
      <c r="Q51" s="18">
        <f>#REF!/#REF!</f>
        <v>7.6470588235294121</v>
      </c>
      <c r="R51" s="18"/>
      <c r="S51" s="18"/>
      <c r="T51" s="18"/>
      <c r="U51" s="18"/>
      <c r="V51" s="18"/>
      <c r="W51" s="18"/>
      <c r="X51" s="18"/>
      <c r="Y51" s="18">
        <v>1</v>
      </c>
      <c r="Z51" s="18">
        <v>187</v>
      </c>
      <c r="AA51" s="18">
        <v>500</v>
      </c>
      <c r="AB51" s="18"/>
      <c r="AC51" s="18">
        <v>400</v>
      </c>
      <c r="AD51" s="18"/>
      <c r="AE51" s="18">
        <v>494</v>
      </c>
      <c r="AF51" s="18">
        <v>741</v>
      </c>
      <c r="AG51" s="18" t="s">
        <v>41</v>
      </c>
      <c r="AH51" s="18" t="s">
        <v>168</v>
      </c>
      <c r="AI51" s="18" t="s">
        <v>41</v>
      </c>
      <c r="AJ51" s="18">
        <v>1</v>
      </c>
      <c r="AK51" s="18" t="s">
        <v>1454</v>
      </c>
      <c r="AL51" s="19" t="s">
        <v>41</v>
      </c>
    </row>
    <row r="52" spans="1:38">
      <c r="A52" s="17" t="s">
        <v>191</v>
      </c>
      <c r="B52" s="18" t="s">
        <v>38</v>
      </c>
      <c r="C52" s="18">
        <v>1</v>
      </c>
      <c r="D52" s="18" t="s">
        <v>192</v>
      </c>
      <c r="E52" s="18" t="s">
        <v>193</v>
      </c>
      <c r="F52" s="18" t="s">
        <v>41</v>
      </c>
      <c r="G52" s="18" t="s">
        <v>194</v>
      </c>
      <c r="H52" s="18">
        <v>86</v>
      </c>
      <c r="I52" s="18">
        <v>190</v>
      </c>
      <c r="J52" s="18">
        <v>1500</v>
      </c>
      <c r="K52" s="18">
        <v>5320</v>
      </c>
      <c r="L52" s="18">
        <v>0</v>
      </c>
      <c r="M52" s="18">
        <v>0</v>
      </c>
      <c r="N52" s="18">
        <v>0</v>
      </c>
      <c r="O52" s="18">
        <v>0</v>
      </c>
      <c r="P52" s="18">
        <v>1430</v>
      </c>
      <c r="Q52" s="18">
        <f>#REF!/#REF!</f>
        <v>7.5263157894736841</v>
      </c>
      <c r="R52" s="18"/>
      <c r="S52" s="18"/>
      <c r="T52" s="18"/>
      <c r="U52" s="18"/>
      <c r="V52" s="18"/>
      <c r="W52" s="18"/>
      <c r="X52" s="18"/>
      <c r="Y52" s="18">
        <v>1</v>
      </c>
      <c r="Z52" s="18">
        <v>266</v>
      </c>
      <c r="AA52" s="18">
        <v>480</v>
      </c>
      <c r="AB52" s="18"/>
      <c r="AC52" s="18"/>
      <c r="AD52" s="18"/>
      <c r="AE52" s="18">
        <v>475</v>
      </c>
      <c r="AF52" s="18">
        <v>713</v>
      </c>
      <c r="AG52" s="18" t="s">
        <v>41</v>
      </c>
      <c r="AH52" s="18" t="s">
        <v>128</v>
      </c>
      <c r="AI52" s="18" t="s">
        <v>41</v>
      </c>
      <c r="AJ52" s="18">
        <v>1</v>
      </c>
      <c r="AK52" s="18" t="s">
        <v>1308</v>
      </c>
      <c r="AL52" s="19" t="s">
        <v>41</v>
      </c>
    </row>
    <row r="53" spans="1:38">
      <c r="A53" s="17" t="s">
        <v>824</v>
      </c>
      <c r="B53" s="18" t="s">
        <v>806</v>
      </c>
      <c r="C53" s="18">
        <v>1</v>
      </c>
      <c r="D53" s="18" t="s">
        <v>825</v>
      </c>
      <c r="E53" s="18" t="s">
        <v>600</v>
      </c>
      <c r="F53" s="18" t="s">
        <v>41</v>
      </c>
      <c r="G53" s="18" t="s">
        <v>601</v>
      </c>
      <c r="H53" s="18">
        <v>26</v>
      </c>
      <c r="I53" s="18">
        <v>36</v>
      </c>
      <c r="J53" s="18">
        <v>880</v>
      </c>
      <c r="K53" s="18">
        <v>1280</v>
      </c>
      <c r="L53" s="18">
        <v>0</v>
      </c>
      <c r="M53" s="18">
        <v>0</v>
      </c>
      <c r="N53" s="18">
        <v>0</v>
      </c>
      <c r="O53" s="18">
        <v>81</v>
      </c>
      <c r="P53" s="18">
        <v>270</v>
      </c>
      <c r="Q53" s="18">
        <f>#REF!/#REF!</f>
        <v>7.5</v>
      </c>
      <c r="R53" s="18"/>
      <c r="S53" s="18"/>
      <c r="T53" s="18"/>
      <c r="U53" s="18"/>
      <c r="V53" s="18"/>
      <c r="W53" s="18"/>
      <c r="X53" s="18"/>
      <c r="Y53" s="18"/>
      <c r="Z53" s="18">
        <v>74</v>
      </c>
      <c r="AA53" s="18">
        <v>230</v>
      </c>
      <c r="AB53" s="18"/>
      <c r="AC53" s="18"/>
      <c r="AD53" s="18"/>
      <c r="AE53" s="18">
        <v>500</v>
      </c>
      <c r="AF53" s="18">
        <v>750</v>
      </c>
      <c r="AG53" s="18" t="s">
        <v>41</v>
      </c>
      <c r="AH53" s="18" t="s">
        <v>128</v>
      </c>
      <c r="AI53" s="18" t="s">
        <v>41</v>
      </c>
      <c r="AJ53" s="18">
        <v>1</v>
      </c>
      <c r="AK53" s="18" t="s">
        <v>1484</v>
      </c>
      <c r="AL53" s="19" t="s">
        <v>41</v>
      </c>
    </row>
    <row r="54" spans="1:38">
      <c r="A54" s="17" t="s">
        <v>478</v>
      </c>
      <c r="B54" s="18" t="s">
        <v>38</v>
      </c>
      <c r="C54" s="18">
        <v>1</v>
      </c>
      <c r="D54" s="18" t="s">
        <v>479</v>
      </c>
      <c r="E54" s="18" t="s">
        <v>480</v>
      </c>
      <c r="F54" s="18" t="s">
        <v>41</v>
      </c>
      <c r="G54" s="18" t="s">
        <v>481</v>
      </c>
      <c r="H54" s="18">
        <v>78</v>
      </c>
      <c r="I54" s="18">
        <v>85</v>
      </c>
      <c r="J54" s="18">
        <v>680</v>
      </c>
      <c r="K54" s="18">
        <v>2660</v>
      </c>
      <c r="L54" s="18">
        <v>0</v>
      </c>
      <c r="M54" s="18">
        <v>0</v>
      </c>
      <c r="N54" s="18">
        <v>0</v>
      </c>
      <c r="O54" s="18">
        <v>0</v>
      </c>
      <c r="P54" s="18">
        <v>620</v>
      </c>
      <c r="Q54" s="18">
        <f>#REF!/#REF!</f>
        <v>7.2941176470588234</v>
      </c>
      <c r="R54" s="18"/>
      <c r="S54" s="18"/>
      <c r="T54" s="18"/>
      <c r="U54" s="18"/>
      <c r="V54" s="18"/>
      <c r="W54" s="18"/>
      <c r="X54" s="18"/>
      <c r="Y54" s="18">
        <v>1</v>
      </c>
      <c r="Z54" s="18">
        <v>161</v>
      </c>
      <c r="AA54" s="18">
        <v>430</v>
      </c>
      <c r="AB54" s="18"/>
      <c r="AC54" s="18"/>
      <c r="AD54" s="18"/>
      <c r="AE54" s="18">
        <v>494</v>
      </c>
      <c r="AF54" s="18">
        <v>741</v>
      </c>
      <c r="AG54" s="18" t="s">
        <v>41</v>
      </c>
      <c r="AH54" s="18" t="s">
        <v>128</v>
      </c>
      <c r="AI54" s="18" t="s">
        <v>41</v>
      </c>
      <c r="AJ54" s="18">
        <v>1</v>
      </c>
      <c r="AK54" s="18" t="s">
        <v>1383</v>
      </c>
      <c r="AL54" s="19" t="s">
        <v>41</v>
      </c>
    </row>
    <row r="55" spans="1:38">
      <c r="A55" s="17" t="s">
        <v>1032</v>
      </c>
      <c r="B55" s="18" t="s">
        <v>806</v>
      </c>
      <c r="C55" s="18">
        <v>1</v>
      </c>
      <c r="D55" s="18" t="s">
        <v>1033</v>
      </c>
      <c r="E55" s="18" t="s">
        <v>480</v>
      </c>
      <c r="F55" s="18" t="s">
        <v>41</v>
      </c>
      <c r="G55" s="18" t="s">
        <v>481</v>
      </c>
      <c r="H55" s="18">
        <v>67</v>
      </c>
      <c r="I55" s="18">
        <v>90</v>
      </c>
      <c r="J55" s="18">
        <v>700</v>
      </c>
      <c r="K55" s="18">
        <v>2720</v>
      </c>
      <c r="L55" s="18">
        <v>0</v>
      </c>
      <c r="M55" s="18">
        <v>0</v>
      </c>
      <c r="N55" s="18">
        <v>0</v>
      </c>
      <c r="O55" s="18">
        <v>0</v>
      </c>
      <c r="P55" s="18">
        <v>650</v>
      </c>
      <c r="Q55" s="18">
        <f>#REF!/#REF!</f>
        <v>7.2222222222222223</v>
      </c>
      <c r="R55" s="18"/>
      <c r="S55" s="18"/>
      <c r="T55" s="18"/>
      <c r="U55" s="18"/>
      <c r="V55" s="18"/>
      <c r="W55" s="18"/>
      <c r="X55" s="18"/>
      <c r="Y55" s="18">
        <v>1</v>
      </c>
      <c r="Z55" s="18">
        <v>161</v>
      </c>
      <c r="AA55" s="18">
        <v>435</v>
      </c>
      <c r="AB55" s="18"/>
      <c r="AC55" s="18"/>
      <c r="AD55" s="18"/>
      <c r="AE55" s="18">
        <v>494</v>
      </c>
      <c r="AF55" s="18">
        <v>741</v>
      </c>
      <c r="AG55" s="18" t="s">
        <v>41</v>
      </c>
      <c r="AH55" s="18" t="s">
        <v>128</v>
      </c>
      <c r="AI55" s="18" t="s">
        <v>41</v>
      </c>
      <c r="AJ55" s="18">
        <v>1</v>
      </c>
      <c r="AK55" s="18" t="s">
        <v>1575</v>
      </c>
      <c r="AL55" s="19" t="s">
        <v>41</v>
      </c>
    </row>
    <row r="56" spans="1:38">
      <c r="A56" s="17" t="s">
        <v>219</v>
      </c>
      <c r="B56" s="18" t="s">
        <v>38</v>
      </c>
      <c r="C56" s="18">
        <v>1</v>
      </c>
      <c r="D56" s="18" t="s">
        <v>220</v>
      </c>
      <c r="E56" s="18" t="s">
        <v>216</v>
      </c>
      <c r="F56" s="18" t="s">
        <v>41</v>
      </c>
      <c r="G56" s="18" t="s">
        <v>221</v>
      </c>
      <c r="H56" s="18">
        <v>12</v>
      </c>
      <c r="I56" s="18">
        <v>200</v>
      </c>
      <c r="J56" s="18">
        <v>2700</v>
      </c>
      <c r="K56" s="18">
        <v>4470</v>
      </c>
      <c r="L56" s="18">
        <v>0</v>
      </c>
      <c r="M56" s="18">
        <v>11</v>
      </c>
      <c r="N56" s="18">
        <v>110</v>
      </c>
      <c r="O56" s="18">
        <v>67</v>
      </c>
      <c r="P56" s="18">
        <v>1440</v>
      </c>
      <c r="Q56" s="18">
        <f>#REF!/#REF!</f>
        <v>7.2</v>
      </c>
      <c r="R56" s="18"/>
      <c r="S56" s="18"/>
      <c r="T56" s="18"/>
      <c r="U56" s="18">
        <v>1</v>
      </c>
      <c r="V56" s="18"/>
      <c r="W56" s="18"/>
      <c r="X56" s="18"/>
      <c r="Y56" s="18"/>
      <c r="Z56" s="18">
        <v>0</v>
      </c>
      <c r="AA56" s="18">
        <v>0</v>
      </c>
      <c r="AB56" s="18"/>
      <c r="AC56" s="18"/>
      <c r="AD56" s="18">
        <v>50</v>
      </c>
      <c r="AE56" s="18">
        <v>351</v>
      </c>
      <c r="AF56" s="18">
        <v>527</v>
      </c>
      <c r="AG56" s="18" t="s">
        <v>41</v>
      </c>
      <c r="AH56" s="18" t="s">
        <v>41</v>
      </c>
      <c r="AI56" s="18" t="s">
        <v>222</v>
      </c>
      <c r="AJ56" s="18">
        <v>1</v>
      </c>
      <c r="AK56" s="18" t="s">
        <v>1316</v>
      </c>
      <c r="AL56" s="19" t="s">
        <v>41</v>
      </c>
    </row>
    <row r="57" spans="1:38">
      <c r="A57" s="17" t="s">
        <v>1172</v>
      </c>
      <c r="B57" s="18" t="s">
        <v>806</v>
      </c>
      <c r="C57" s="18">
        <v>1</v>
      </c>
      <c r="D57" s="18" t="s">
        <v>728</v>
      </c>
      <c r="E57" s="18" t="s">
        <v>729</v>
      </c>
      <c r="F57" s="18" t="s">
        <v>41</v>
      </c>
      <c r="G57" s="18" t="s">
        <v>730</v>
      </c>
      <c r="H57" s="18">
        <v>32</v>
      </c>
      <c r="I57" s="18">
        <v>600</v>
      </c>
      <c r="J57" s="18">
        <v>1200</v>
      </c>
      <c r="K57" s="18">
        <v>6600</v>
      </c>
      <c r="L57" s="18">
        <v>0</v>
      </c>
      <c r="M57" s="18">
        <v>0</v>
      </c>
      <c r="N57" s="18">
        <v>165</v>
      </c>
      <c r="O57" s="18">
        <v>0</v>
      </c>
      <c r="P57" s="18">
        <v>4300</v>
      </c>
      <c r="Q57" s="18">
        <f>#REF!/#REF!</f>
        <v>7.166666666666667</v>
      </c>
      <c r="R57" s="18"/>
      <c r="S57" s="18"/>
      <c r="T57" s="18"/>
      <c r="U57" s="18"/>
      <c r="V57" s="18"/>
      <c r="W57" s="18"/>
      <c r="X57" s="18"/>
      <c r="Y57" s="18">
        <v>1</v>
      </c>
      <c r="Z57" s="18">
        <v>0</v>
      </c>
      <c r="AA57" s="18">
        <v>0</v>
      </c>
      <c r="AB57" s="18"/>
      <c r="AC57" s="18"/>
      <c r="AD57" s="18"/>
      <c r="AE57" s="18">
        <v>340</v>
      </c>
      <c r="AF57" s="18">
        <v>510</v>
      </c>
      <c r="AG57" s="18" t="s">
        <v>41</v>
      </c>
      <c r="AH57" s="18" t="s">
        <v>41</v>
      </c>
      <c r="AI57" s="18" t="s">
        <v>1173</v>
      </c>
      <c r="AJ57" s="18">
        <v>1</v>
      </c>
      <c r="AK57" s="18" t="s">
        <v>1644</v>
      </c>
      <c r="AL57" s="19" t="s">
        <v>41</v>
      </c>
    </row>
    <row r="58" spans="1:38">
      <c r="A58" s="17" t="s">
        <v>828</v>
      </c>
      <c r="B58" s="18" t="s">
        <v>806</v>
      </c>
      <c r="C58" s="18">
        <v>2</v>
      </c>
      <c r="D58" s="18" t="s">
        <v>829</v>
      </c>
      <c r="E58" s="18" t="s">
        <v>112</v>
      </c>
      <c r="F58" s="18" t="s">
        <v>41</v>
      </c>
      <c r="G58" s="18" t="s">
        <v>830</v>
      </c>
      <c r="H58" s="18">
        <v>32</v>
      </c>
      <c r="I58" s="18">
        <v>330</v>
      </c>
      <c r="J58" s="18">
        <v>9500</v>
      </c>
      <c r="K58" s="18">
        <v>9650</v>
      </c>
      <c r="L58" s="18">
        <v>0</v>
      </c>
      <c r="M58" s="18">
        <v>0</v>
      </c>
      <c r="N58" s="18">
        <v>0</v>
      </c>
      <c r="O58" s="18">
        <v>56</v>
      </c>
      <c r="P58" s="18">
        <v>2350</v>
      </c>
      <c r="Q58" s="18">
        <f>#REF!/#REF!</f>
        <v>7.1212121212121211</v>
      </c>
      <c r="R58" s="18">
        <v>1</v>
      </c>
      <c r="S58" s="18"/>
      <c r="T58" s="18"/>
      <c r="U58" s="18"/>
      <c r="V58" s="18"/>
      <c r="W58" s="18"/>
      <c r="X58" s="18"/>
      <c r="Y58" s="18"/>
      <c r="Z58" s="18">
        <v>174</v>
      </c>
      <c r="AA58" s="18">
        <v>400</v>
      </c>
      <c r="AB58" s="18"/>
      <c r="AC58" s="18">
        <v>300</v>
      </c>
      <c r="AD58" s="18">
        <v>300</v>
      </c>
      <c r="AE58" s="18">
        <v>400</v>
      </c>
      <c r="AF58" s="18">
        <v>600</v>
      </c>
      <c r="AG58" s="18" t="s">
        <v>41</v>
      </c>
      <c r="AH58" s="18" t="s">
        <v>831</v>
      </c>
      <c r="AI58" s="18" t="s">
        <v>41</v>
      </c>
      <c r="AJ58" s="18">
        <v>1</v>
      </c>
      <c r="AK58" s="18" t="s">
        <v>1486</v>
      </c>
      <c r="AL58" s="19" t="s">
        <v>41</v>
      </c>
    </row>
    <row r="59" spans="1:38">
      <c r="A59" s="17" t="s">
        <v>1169</v>
      </c>
      <c r="B59" s="18" t="s">
        <v>806</v>
      </c>
      <c r="C59" s="18">
        <v>2</v>
      </c>
      <c r="D59" s="18" t="s">
        <v>1170</v>
      </c>
      <c r="E59" s="18" t="s">
        <v>1171</v>
      </c>
      <c r="F59" s="18" t="s">
        <v>41</v>
      </c>
      <c r="G59" s="18" t="s">
        <v>1169</v>
      </c>
      <c r="H59" s="18">
        <v>36</v>
      </c>
      <c r="I59" s="18">
        <v>2200</v>
      </c>
      <c r="J59" s="18">
        <v>35000</v>
      </c>
      <c r="K59" s="18">
        <v>51000</v>
      </c>
      <c r="L59" s="18">
        <v>0</v>
      </c>
      <c r="M59" s="18">
        <v>0</v>
      </c>
      <c r="N59" s="18">
        <v>0</v>
      </c>
      <c r="O59" s="18">
        <v>23</v>
      </c>
      <c r="P59" s="18">
        <v>15600</v>
      </c>
      <c r="Q59" s="18">
        <f>#REF!/#REF!</f>
        <v>7.0909090909090908</v>
      </c>
      <c r="R59" s="18"/>
      <c r="S59" s="18"/>
      <c r="T59" s="18"/>
      <c r="U59" s="18"/>
      <c r="V59" s="18"/>
      <c r="W59" s="18"/>
      <c r="X59" s="18"/>
      <c r="Y59" s="18"/>
      <c r="Z59" s="18">
        <v>503</v>
      </c>
      <c r="AA59" s="18">
        <v>650</v>
      </c>
      <c r="AB59" s="18"/>
      <c r="AC59" s="18"/>
      <c r="AD59" s="18"/>
      <c r="AE59" s="18">
        <v>510</v>
      </c>
      <c r="AF59" s="18">
        <v>765</v>
      </c>
      <c r="AG59" s="18" t="s">
        <v>41</v>
      </c>
      <c r="AH59" s="18" t="s">
        <v>128</v>
      </c>
      <c r="AI59" s="18" t="s">
        <v>41</v>
      </c>
      <c r="AJ59" s="18">
        <v>1</v>
      </c>
      <c r="AK59" s="18" t="s">
        <v>1643</v>
      </c>
      <c r="AL59" s="19" t="s">
        <v>41</v>
      </c>
    </row>
    <row r="60" spans="1:38">
      <c r="A60" s="17" t="s">
        <v>598</v>
      </c>
      <c r="B60" s="18" t="s">
        <v>38</v>
      </c>
      <c r="C60" s="18">
        <v>1</v>
      </c>
      <c r="D60" s="18" t="s">
        <v>599</v>
      </c>
      <c r="E60" s="18" t="s">
        <v>600</v>
      </c>
      <c r="F60" s="18" t="s">
        <v>41</v>
      </c>
      <c r="G60" s="18" t="s">
        <v>601</v>
      </c>
      <c r="H60" s="18">
        <v>26</v>
      </c>
      <c r="I60" s="18">
        <v>48</v>
      </c>
      <c r="J60" s="18">
        <v>960</v>
      </c>
      <c r="K60" s="18">
        <v>1420</v>
      </c>
      <c r="L60" s="18">
        <v>0</v>
      </c>
      <c r="M60" s="18">
        <v>0</v>
      </c>
      <c r="N60" s="18">
        <v>0</v>
      </c>
      <c r="O60" s="18">
        <v>87</v>
      </c>
      <c r="P60" s="18">
        <v>335</v>
      </c>
      <c r="Q60" s="18">
        <f>#REF!/#REF!</f>
        <v>6.979166666666667</v>
      </c>
      <c r="R60" s="18"/>
      <c r="S60" s="18"/>
      <c r="T60" s="18"/>
      <c r="U60" s="18"/>
      <c r="V60" s="18"/>
      <c r="W60" s="18"/>
      <c r="X60" s="18"/>
      <c r="Y60" s="18"/>
      <c r="Z60" s="18">
        <v>90</v>
      </c>
      <c r="AA60" s="18">
        <v>180</v>
      </c>
      <c r="AB60" s="18"/>
      <c r="AC60" s="18"/>
      <c r="AD60" s="18"/>
      <c r="AE60" s="18">
        <v>429</v>
      </c>
      <c r="AF60" s="18">
        <v>644</v>
      </c>
      <c r="AG60" s="18" t="s">
        <v>41</v>
      </c>
      <c r="AH60" s="18" t="s">
        <v>124</v>
      </c>
      <c r="AI60" s="18" t="s">
        <v>41</v>
      </c>
      <c r="AJ60" s="18">
        <v>1</v>
      </c>
      <c r="AK60" s="18" t="s">
        <v>1416</v>
      </c>
      <c r="AL60" s="19" t="s">
        <v>41</v>
      </c>
    </row>
    <row r="61" spans="1:38">
      <c r="A61" s="17" t="s">
        <v>980</v>
      </c>
      <c r="B61" s="18" t="s">
        <v>806</v>
      </c>
      <c r="C61" s="18">
        <v>1</v>
      </c>
      <c r="D61" s="18" t="s">
        <v>981</v>
      </c>
      <c r="E61" s="18" t="s">
        <v>982</v>
      </c>
      <c r="F61" s="18" t="s">
        <v>41</v>
      </c>
      <c r="G61" s="18" t="s">
        <v>368</v>
      </c>
      <c r="H61" s="18">
        <v>16</v>
      </c>
      <c r="I61" s="18">
        <v>118</v>
      </c>
      <c r="J61" s="18">
        <v>1042</v>
      </c>
      <c r="K61" s="18">
        <v>1761</v>
      </c>
      <c r="L61" s="18">
        <v>0</v>
      </c>
      <c r="M61" s="18">
        <v>0</v>
      </c>
      <c r="N61" s="18">
        <v>0</v>
      </c>
      <c r="O61" s="18">
        <v>86</v>
      </c>
      <c r="P61" s="18">
        <v>820</v>
      </c>
      <c r="Q61" s="18">
        <f>#REF!/#REF!</f>
        <v>6.9491525423728815</v>
      </c>
      <c r="R61" s="18"/>
      <c r="S61" s="18"/>
      <c r="T61" s="18"/>
      <c r="U61" s="18"/>
      <c r="V61" s="18"/>
      <c r="W61" s="18"/>
      <c r="X61" s="18"/>
      <c r="Y61" s="18"/>
      <c r="Z61" s="18">
        <v>98</v>
      </c>
      <c r="AA61" s="18">
        <v>230</v>
      </c>
      <c r="AB61" s="18"/>
      <c r="AC61" s="18"/>
      <c r="AD61" s="18"/>
      <c r="AE61" s="18">
        <v>273</v>
      </c>
      <c r="AF61" s="18">
        <v>410</v>
      </c>
      <c r="AG61" s="18" t="s">
        <v>41</v>
      </c>
      <c r="AH61" s="18" t="s">
        <v>128</v>
      </c>
      <c r="AI61" s="18" t="s">
        <v>41</v>
      </c>
      <c r="AJ61" s="18">
        <v>1</v>
      </c>
      <c r="AK61" s="18" t="s">
        <v>1554</v>
      </c>
      <c r="AL61" s="19" t="s">
        <v>41</v>
      </c>
    </row>
    <row r="62" spans="1:38">
      <c r="A62" s="17" t="s">
        <v>1061</v>
      </c>
      <c r="B62" s="18" t="s">
        <v>806</v>
      </c>
      <c r="C62" s="18">
        <v>1</v>
      </c>
      <c r="D62" s="18" t="s">
        <v>1062</v>
      </c>
      <c r="E62" s="18" t="s">
        <v>541</v>
      </c>
      <c r="F62" s="18" t="s">
        <v>41</v>
      </c>
      <c r="G62" s="18" t="s">
        <v>1063</v>
      </c>
      <c r="H62" s="18">
        <v>14</v>
      </c>
      <c r="I62" s="18">
        <v>65</v>
      </c>
      <c r="J62" s="18">
        <v>1300</v>
      </c>
      <c r="K62" s="18">
        <v>3640</v>
      </c>
      <c r="L62" s="18">
        <v>0</v>
      </c>
      <c r="M62" s="18">
        <v>0</v>
      </c>
      <c r="N62" s="18">
        <v>40</v>
      </c>
      <c r="O62" s="18">
        <v>69</v>
      </c>
      <c r="P62" s="18">
        <v>450</v>
      </c>
      <c r="Q62" s="18">
        <f>#REF!/#REF!</f>
        <v>6.9230769230769234</v>
      </c>
      <c r="R62" s="18"/>
      <c r="S62" s="18"/>
      <c r="T62" s="18"/>
      <c r="U62" s="18"/>
      <c r="V62" s="18"/>
      <c r="W62" s="18"/>
      <c r="X62" s="18"/>
      <c r="Y62" s="18"/>
      <c r="Z62" s="18">
        <v>0</v>
      </c>
      <c r="AA62" s="18">
        <v>0</v>
      </c>
      <c r="AB62" s="18">
        <v>64</v>
      </c>
      <c r="AC62" s="18"/>
      <c r="AD62" s="18"/>
      <c r="AE62" s="18">
        <v>450</v>
      </c>
      <c r="AF62" s="18">
        <v>675</v>
      </c>
      <c r="AG62" s="18" t="s">
        <v>239</v>
      </c>
      <c r="AH62" s="18" t="s">
        <v>41</v>
      </c>
      <c r="AI62" s="18" t="s">
        <v>1064</v>
      </c>
      <c r="AJ62" s="18">
        <v>1</v>
      </c>
      <c r="AK62" s="18" t="s">
        <v>1593</v>
      </c>
      <c r="AL62" s="19" t="s">
        <v>41</v>
      </c>
    </row>
    <row r="63" spans="1:38">
      <c r="A63" s="17" t="s">
        <v>195</v>
      </c>
      <c r="B63" s="18" t="s">
        <v>38</v>
      </c>
      <c r="C63" s="18">
        <v>1</v>
      </c>
      <c r="D63" s="18" t="s">
        <v>196</v>
      </c>
      <c r="E63" s="18" t="s">
        <v>197</v>
      </c>
      <c r="F63" s="18" t="s">
        <v>41</v>
      </c>
      <c r="G63" s="18" t="s">
        <v>198</v>
      </c>
      <c r="H63" s="18">
        <v>22</v>
      </c>
      <c r="I63" s="18">
        <v>150</v>
      </c>
      <c r="J63" s="18">
        <v>3100</v>
      </c>
      <c r="K63" s="18">
        <v>6700</v>
      </c>
      <c r="L63" s="18">
        <v>0</v>
      </c>
      <c r="M63" s="18">
        <v>8</v>
      </c>
      <c r="N63" s="18">
        <v>80</v>
      </c>
      <c r="O63" s="18">
        <v>42</v>
      </c>
      <c r="P63" s="18">
        <v>1030</v>
      </c>
      <c r="Q63" s="18">
        <f>#REF!/#REF!</f>
        <v>6.8666666666666663</v>
      </c>
      <c r="R63" s="18">
        <v>1</v>
      </c>
      <c r="S63" s="18"/>
      <c r="T63" s="18"/>
      <c r="U63" s="18"/>
      <c r="V63" s="18"/>
      <c r="W63" s="18"/>
      <c r="X63" s="18"/>
      <c r="Y63" s="18"/>
      <c r="Z63" s="18">
        <v>0</v>
      </c>
      <c r="AA63" s="18">
        <v>0</v>
      </c>
      <c r="AB63" s="18"/>
      <c r="AC63" s="18"/>
      <c r="AD63" s="18"/>
      <c r="AE63" s="18">
        <v>266</v>
      </c>
      <c r="AF63" s="18">
        <v>399</v>
      </c>
      <c r="AG63" s="18" t="s">
        <v>41</v>
      </c>
      <c r="AH63" s="18" t="s">
        <v>41</v>
      </c>
      <c r="AI63" s="18" t="s">
        <v>1309</v>
      </c>
      <c r="AJ63" s="18">
        <v>1</v>
      </c>
      <c r="AK63" s="18" t="s">
        <v>1310</v>
      </c>
      <c r="AL63" s="19" t="s">
        <v>41</v>
      </c>
    </row>
    <row r="64" spans="1:38">
      <c r="A64" s="17" t="s">
        <v>769</v>
      </c>
      <c r="B64" s="18" t="s">
        <v>38</v>
      </c>
      <c r="C64" s="18">
        <v>2</v>
      </c>
      <c r="D64" s="18" t="s">
        <v>770</v>
      </c>
      <c r="E64" s="18" t="s">
        <v>771</v>
      </c>
      <c r="F64" s="18" t="s">
        <v>41</v>
      </c>
      <c r="G64" s="18" t="s">
        <v>772</v>
      </c>
      <c r="H64" s="18">
        <v>14</v>
      </c>
      <c r="I64" s="18">
        <v>65</v>
      </c>
      <c r="J64" s="18">
        <v>5800</v>
      </c>
      <c r="K64" s="18">
        <v>7900</v>
      </c>
      <c r="L64" s="18">
        <v>0</v>
      </c>
      <c r="M64" s="18">
        <v>0</v>
      </c>
      <c r="N64" s="18">
        <v>0</v>
      </c>
      <c r="O64" s="18">
        <v>84</v>
      </c>
      <c r="P64" s="18">
        <v>445</v>
      </c>
      <c r="Q64" s="18">
        <f>#REF!/#REF!</f>
        <v>6.8461538461538458</v>
      </c>
      <c r="R64" s="18">
        <v>1</v>
      </c>
      <c r="S64" s="18"/>
      <c r="T64" s="18"/>
      <c r="U64" s="18"/>
      <c r="V64" s="18"/>
      <c r="W64" s="18"/>
      <c r="X64" s="18"/>
      <c r="Y64" s="18"/>
      <c r="Z64" s="18">
        <v>2000</v>
      </c>
      <c r="AA64" s="18">
        <v>42</v>
      </c>
      <c r="AB64" s="18"/>
      <c r="AC64" s="18"/>
      <c r="AD64" s="18"/>
      <c r="AE64" s="18">
        <v>273</v>
      </c>
      <c r="AF64" s="18">
        <v>410</v>
      </c>
      <c r="AG64" s="18" t="s">
        <v>41</v>
      </c>
      <c r="AH64" s="18" t="s">
        <v>773</v>
      </c>
      <c r="AI64" s="18" t="s">
        <v>41</v>
      </c>
      <c r="AJ64" s="18">
        <v>1</v>
      </c>
      <c r="AK64" s="18" t="s">
        <v>1464</v>
      </c>
      <c r="AL64" s="19" t="s">
        <v>41</v>
      </c>
    </row>
    <row r="65" spans="1:38">
      <c r="A65" s="17" t="s">
        <v>1143</v>
      </c>
      <c r="B65" s="18" t="s">
        <v>806</v>
      </c>
      <c r="C65" s="18">
        <v>2</v>
      </c>
      <c r="D65" s="18" t="s">
        <v>1144</v>
      </c>
      <c r="E65" s="18" t="s">
        <v>779</v>
      </c>
      <c r="F65" s="18" t="s">
        <v>41</v>
      </c>
      <c r="G65" s="18" t="s">
        <v>780</v>
      </c>
      <c r="H65" s="18">
        <v>88</v>
      </c>
      <c r="I65" s="18">
        <v>130</v>
      </c>
      <c r="J65" s="18">
        <v>20000</v>
      </c>
      <c r="K65" s="18">
        <v>9400</v>
      </c>
      <c r="L65" s="18">
        <v>0</v>
      </c>
      <c r="M65" s="18">
        <v>0</v>
      </c>
      <c r="N65" s="18">
        <v>0</v>
      </c>
      <c r="O65" s="18">
        <v>0</v>
      </c>
      <c r="P65" s="18">
        <v>890</v>
      </c>
      <c r="Q65" s="18">
        <f>#REF!/#REF!</f>
        <v>6.8461538461538458</v>
      </c>
      <c r="R65" s="18"/>
      <c r="S65" s="18"/>
      <c r="T65" s="18"/>
      <c r="U65" s="18"/>
      <c r="V65" s="18"/>
      <c r="W65" s="18"/>
      <c r="X65" s="18"/>
      <c r="Y65" s="18">
        <v>1</v>
      </c>
      <c r="Z65" s="18">
        <v>0</v>
      </c>
      <c r="AA65" s="18">
        <v>0</v>
      </c>
      <c r="AB65" s="18">
        <v>700</v>
      </c>
      <c r="AC65" s="18"/>
      <c r="AD65" s="18"/>
      <c r="AE65" s="18">
        <v>155</v>
      </c>
      <c r="AF65" s="18">
        <v>233</v>
      </c>
      <c r="AG65" s="18" t="s">
        <v>148</v>
      </c>
      <c r="AH65" s="18" t="s">
        <v>41</v>
      </c>
      <c r="AI65" s="18" t="s">
        <v>41</v>
      </c>
      <c r="AJ65" s="18">
        <v>1</v>
      </c>
      <c r="AK65" s="18" t="s">
        <v>1630</v>
      </c>
      <c r="AL65" s="19" t="s">
        <v>41</v>
      </c>
    </row>
    <row r="66" spans="1:38">
      <c r="A66" s="17" t="s">
        <v>727</v>
      </c>
      <c r="B66" s="18" t="s">
        <v>38</v>
      </c>
      <c r="C66" s="18">
        <v>1</v>
      </c>
      <c r="D66" s="18" t="s">
        <v>728</v>
      </c>
      <c r="E66" s="18" t="s">
        <v>729</v>
      </c>
      <c r="F66" s="18" t="s">
        <v>41</v>
      </c>
      <c r="G66" s="18" t="s">
        <v>730</v>
      </c>
      <c r="H66" s="18">
        <v>52</v>
      </c>
      <c r="I66" s="18">
        <v>600</v>
      </c>
      <c r="J66" s="18">
        <v>1200</v>
      </c>
      <c r="K66" s="18">
        <v>6660</v>
      </c>
      <c r="L66" s="18">
        <v>0</v>
      </c>
      <c r="M66" s="18">
        <v>0</v>
      </c>
      <c r="N66" s="18">
        <v>165</v>
      </c>
      <c r="O66" s="18">
        <v>0</v>
      </c>
      <c r="P66" s="18">
        <v>4100</v>
      </c>
      <c r="Q66" s="18">
        <f>#REF!/#REF!</f>
        <v>6.833333333333333</v>
      </c>
      <c r="R66" s="18"/>
      <c r="S66" s="18"/>
      <c r="T66" s="18"/>
      <c r="U66" s="18"/>
      <c r="V66" s="18"/>
      <c r="W66" s="18"/>
      <c r="X66" s="18"/>
      <c r="Y66" s="18">
        <v>1</v>
      </c>
      <c r="Z66" s="18">
        <v>0</v>
      </c>
      <c r="AA66" s="18">
        <v>0</v>
      </c>
      <c r="AB66" s="18"/>
      <c r="AC66" s="18"/>
      <c r="AD66" s="18"/>
      <c r="AE66" s="18">
        <v>340</v>
      </c>
      <c r="AF66" s="18">
        <v>510</v>
      </c>
      <c r="AG66" s="18" t="s">
        <v>41</v>
      </c>
      <c r="AH66" s="18" t="s">
        <v>41</v>
      </c>
      <c r="AI66" s="18" t="s">
        <v>731</v>
      </c>
      <c r="AJ66" s="18">
        <v>1</v>
      </c>
      <c r="AK66" s="18" t="s">
        <v>1449</v>
      </c>
      <c r="AL66" s="19" t="s">
        <v>41</v>
      </c>
    </row>
    <row r="67" spans="1:38">
      <c r="A67" s="17" t="s">
        <v>988</v>
      </c>
      <c r="B67" s="18" t="s">
        <v>806</v>
      </c>
      <c r="C67" s="18">
        <v>1</v>
      </c>
      <c r="D67" s="18" t="s">
        <v>989</v>
      </c>
      <c r="E67" s="18" t="s">
        <v>990</v>
      </c>
      <c r="F67" s="18" t="s">
        <v>41</v>
      </c>
      <c r="G67" s="18" t="s">
        <v>988</v>
      </c>
      <c r="H67" s="18">
        <v>23</v>
      </c>
      <c r="I67" s="18">
        <v>640</v>
      </c>
      <c r="J67" s="18">
        <v>13000</v>
      </c>
      <c r="K67" s="18">
        <v>12900</v>
      </c>
      <c r="L67" s="18">
        <v>0</v>
      </c>
      <c r="M67" s="18">
        <v>0</v>
      </c>
      <c r="N67" s="18">
        <v>0</v>
      </c>
      <c r="O67" s="18">
        <v>45</v>
      </c>
      <c r="P67" s="18">
        <v>4350</v>
      </c>
      <c r="Q67" s="18">
        <f>#REF!/#REF!</f>
        <v>6.796875</v>
      </c>
      <c r="R67" s="18"/>
      <c r="S67" s="18"/>
      <c r="T67" s="18"/>
      <c r="U67" s="18">
        <v>1</v>
      </c>
      <c r="V67" s="18"/>
      <c r="W67" s="18"/>
      <c r="X67" s="18"/>
      <c r="Y67" s="18"/>
      <c r="Z67" s="18">
        <v>344</v>
      </c>
      <c r="AA67" s="18">
        <v>300</v>
      </c>
      <c r="AB67" s="18"/>
      <c r="AC67" s="18"/>
      <c r="AD67" s="18"/>
      <c r="AE67" s="18">
        <v>450</v>
      </c>
      <c r="AF67" s="18">
        <v>675</v>
      </c>
      <c r="AG67" s="18" t="s">
        <v>41</v>
      </c>
      <c r="AH67" s="18" t="s">
        <v>128</v>
      </c>
      <c r="AI67" s="18" t="s">
        <v>41</v>
      </c>
      <c r="AJ67" s="18">
        <v>1</v>
      </c>
      <c r="AK67" s="18" t="s">
        <v>1557</v>
      </c>
      <c r="AL67" s="19" t="s">
        <v>41</v>
      </c>
    </row>
    <row r="68" spans="1:38">
      <c r="A68" s="17" t="s">
        <v>1028</v>
      </c>
      <c r="B68" s="18" t="s">
        <v>806</v>
      </c>
      <c r="C68" s="18">
        <v>1</v>
      </c>
      <c r="D68" s="18" t="s">
        <v>1029</v>
      </c>
      <c r="E68" s="18" t="s">
        <v>1030</v>
      </c>
      <c r="F68" s="18" t="s">
        <v>41</v>
      </c>
      <c r="G68" s="18" t="s">
        <v>1031</v>
      </c>
      <c r="H68" s="18">
        <v>23</v>
      </c>
      <c r="I68" s="18">
        <v>220</v>
      </c>
      <c r="J68" s="18">
        <v>2600</v>
      </c>
      <c r="K68" s="18">
        <v>3000</v>
      </c>
      <c r="L68" s="18">
        <v>0</v>
      </c>
      <c r="M68" s="18">
        <v>0</v>
      </c>
      <c r="N68" s="18">
        <v>0</v>
      </c>
      <c r="O68" s="18">
        <v>41</v>
      </c>
      <c r="P68" s="18">
        <v>1490</v>
      </c>
      <c r="Q68" s="18">
        <f>#REF!/#REF!</f>
        <v>6.7727272727272725</v>
      </c>
      <c r="R68" s="18"/>
      <c r="S68" s="18"/>
      <c r="T68" s="18"/>
      <c r="U68" s="18"/>
      <c r="V68" s="18"/>
      <c r="W68" s="18"/>
      <c r="X68" s="18"/>
      <c r="Y68" s="18"/>
      <c r="Z68" s="18">
        <v>106</v>
      </c>
      <c r="AA68" s="18">
        <v>315</v>
      </c>
      <c r="AB68" s="18"/>
      <c r="AC68" s="18"/>
      <c r="AD68" s="18"/>
      <c r="AE68" s="18">
        <v>286</v>
      </c>
      <c r="AF68" s="18">
        <v>429</v>
      </c>
      <c r="AG68" s="18" t="s">
        <v>41</v>
      </c>
      <c r="AH68" s="18" t="s">
        <v>124</v>
      </c>
      <c r="AI68" s="18" t="s">
        <v>41</v>
      </c>
      <c r="AJ68" s="18">
        <v>1</v>
      </c>
      <c r="AK68" s="18" t="s">
        <v>1574</v>
      </c>
      <c r="AL68" s="19" t="s">
        <v>41</v>
      </c>
    </row>
    <row r="69" spans="1:38">
      <c r="A69" s="17" t="s">
        <v>1165</v>
      </c>
      <c r="B69" s="18" t="s">
        <v>806</v>
      </c>
      <c r="C69" s="18">
        <v>1</v>
      </c>
      <c r="D69" s="18" t="s">
        <v>1166</v>
      </c>
      <c r="E69" s="18" t="s">
        <v>622</v>
      </c>
      <c r="F69" s="18" t="s">
        <v>41</v>
      </c>
      <c r="G69" s="18" t="s">
        <v>623</v>
      </c>
      <c r="H69" s="18">
        <v>29</v>
      </c>
      <c r="I69" s="18">
        <v>110</v>
      </c>
      <c r="J69" s="18">
        <v>1150</v>
      </c>
      <c r="K69" s="18">
        <v>1950</v>
      </c>
      <c r="L69" s="18">
        <v>0</v>
      </c>
      <c r="M69" s="18">
        <v>0</v>
      </c>
      <c r="N69" s="18">
        <v>0</v>
      </c>
      <c r="O69" s="18">
        <v>48</v>
      </c>
      <c r="P69" s="18">
        <v>740</v>
      </c>
      <c r="Q69" s="18">
        <f>#REF!/#REF!</f>
        <v>6.7272727272727275</v>
      </c>
      <c r="R69" s="18"/>
      <c r="S69" s="18"/>
      <c r="T69" s="18"/>
      <c r="U69" s="18"/>
      <c r="V69" s="18"/>
      <c r="W69" s="18"/>
      <c r="X69" s="18"/>
      <c r="Y69" s="18"/>
      <c r="Z69" s="18">
        <v>41</v>
      </c>
      <c r="AA69" s="18">
        <v>475</v>
      </c>
      <c r="AB69" s="18"/>
      <c r="AC69" s="18"/>
      <c r="AD69" s="18"/>
      <c r="AE69" s="18">
        <v>345</v>
      </c>
      <c r="AF69" s="18">
        <v>517</v>
      </c>
      <c r="AG69" s="18" t="s">
        <v>41</v>
      </c>
      <c r="AH69" s="18" t="s">
        <v>88</v>
      </c>
      <c r="AI69" s="18" t="s">
        <v>41</v>
      </c>
      <c r="AJ69" s="18">
        <v>1</v>
      </c>
      <c r="AK69" s="18" t="s">
        <v>1641</v>
      </c>
      <c r="AL69" s="19" t="s">
        <v>41</v>
      </c>
    </row>
    <row r="70" spans="1:38">
      <c r="A70" s="17" t="s">
        <v>574</v>
      </c>
      <c r="B70" s="18" t="s">
        <v>38</v>
      </c>
      <c r="C70" s="18">
        <v>1</v>
      </c>
      <c r="D70" s="18" t="s">
        <v>575</v>
      </c>
      <c r="E70" s="18" t="s">
        <v>576</v>
      </c>
      <c r="F70" s="18" t="s">
        <v>41</v>
      </c>
      <c r="G70" s="18" t="s">
        <v>577</v>
      </c>
      <c r="H70" s="18">
        <v>22</v>
      </c>
      <c r="I70" s="18">
        <v>200</v>
      </c>
      <c r="J70" s="18">
        <v>2000</v>
      </c>
      <c r="K70" s="18">
        <v>2610</v>
      </c>
      <c r="L70" s="18">
        <v>0</v>
      </c>
      <c r="M70" s="18">
        <v>0</v>
      </c>
      <c r="N70" s="18">
        <v>0</v>
      </c>
      <c r="O70" s="18">
        <v>63</v>
      </c>
      <c r="P70" s="18">
        <v>1340</v>
      </c>
      <c r="Q70" s="18">
        <f>#REF!/#REF!</f>
        <v>6.7</v>
      </c>
      <c r="R70" s="18">
        <v>1</v>
      </c>
      <c r="S70" s="18"/>
      <c r="T70" s="18"/>
      <c r="U70" s="18"/>
      <c r="V70" s="18"/>
      <c r="W70" s="18"/>
      <c r="X70" s="18"/>
      <c r="Y70" s="18"/>
      <c r="Z70" s="18">
        <v>77</v>
      </c>
      <c r="AA70" s="18">
        <v>305</v>
      </c>
      <c r="AB70" s="18"/>
      <c r="AC70" s="18">
        <v>180</v>
      </c>
      <c r="AD70" s="18"/>
      <c r="AE70" s="18">
        <v>305</v>
      </c>
      <c r="AF70" s="18">
        <v>458</v>
      </c>
      <c r="AG70" s="18" t="s">
        <v>41</v>
      </c>
      <c r="AH70" s="18" t="s">
        <v>124</v>
      </c>
      <c r="AI70" s="18" t="s">
        <v>41</v>
      </c>
      <c r="AJ70" s="18">
        <v>1</v>
      </c>
      <c r="AK70" s="18" t="s">
        <v>1411</v>
      </c>
      <c r="AL70" s="19" t="s">
        <v>41</v>
      </c>
    </row>
    <row r="71" spans="1:38">
      <c r="A71" s="17" t="s">
        <v>253</v>
      </c>
      <c r="B71" s="18" t="s">
        <v>38</v>
      </c>
      <c r="C71" s="18">
        <v>2</v>
      </c>
      <c r="D71" s="18" t="s">
        <v>254</v>
      </c>
      <c r="E71" s="18" t="s">
        <v>255</v>
      </c>
      <c r="F71" s="18" t="s">
        <v>41</v>
      </c>
      <c r="G71" s="18" t="s">
        <v>253</v>
      </c>
      <c r="H71" s="18">
        <v>25</v>
      </c>
      <c r="I71" s="18">
        <v>750</v>
      </c>
      <c r="J71" s="18">
        <v>15000</v>
      </c>
      <c r="K71" s="18">
        <v>16000</v>
      </c>
      <c r="L71" s="18">
        <v>0</v>
      </c>
      <c r="M71" s="18">
        <v>0</v>
      </c>
      <c r="N71" s="18">
        <v>0</v>
      </c>
      <c r="O71" s="18">
        <v>54</v>
      </c>
      <c r="P71" s="18">
        <v>5000</v>
      </c>
      <c r="Q71" s="18">
        <f>#REF!/#REF!</f>
        <v>6.666666666666667</v>
      </c>
      <c r="R71" s="18">
        <v>1</v>
      </c>
      <c r="S71" s="18"/>
      <c r="T71" s="18"/>
      <c r="U71" s="18"/>
      <c r="V71" s="18"/>
      <c r="W71" s="18"/>
      <c r="X71" s="18"/>
      <c r="Y71" s="18"/>
      <c r="Z71" s="18">
        <v>176</v>
      </c>
      <c r="AA71" s="18">
        <v>765</v>
      </c>
      <c r="AB71" s="18"/>
      <c r="AC71" s="18">
        <v>279</v>
      </c>
      <c r="AD71" s="18"/>
      <c r="AE71" s="18">
        <v>372</v>
      </c>
      <c r="AF71" s="18">
        <v>558</v>
      </c>
      <c r="AG71" s="18" t="s">
        <v>41</v>
      </c>
      <c r="AH71" s="18" t="s">
        <v>54</v>
      </c>
      <c r="AI71" s="18" t="s">
        <v>41</v>
      </c>
      <c r="AJ71" s="18">
        <v>1</v>
      </c>
      <c r="AK71" s="18" t="s">
        <v>1322</v>
      </c>
      <c r="AL71" s="19" t="s">
        <v>41</v>
      </c>
    </row>
    <row r="72" spans="1:38">
      <c r="A72" s="17" t="s">
        <v>777</v>
      </c>
      <c r="B72" s="18" t="s">
        <v>38</v>
      </c>
      <c r="C72" s="18">
        <v>2</v>
      </c>
      <c r="D72" s="18" t="s">
        <v>778</v>
      </c>
      <c r="E72" s="18" t="s">
        <v>779</v>
      </c>
      <c r="F72" s="18" t="s">
        <v>41</v>
      </c>
      <c r="G72" s="18" t="s">
        <v>780</v>
      </c>
      <c r="H72" s="18">
        <v>87</v>
      </c>
      <c r="I72" s="18">
        <v>125</v>
      </c>
      <c r="J72" s="18">
        <v>19000</v>
      </c>
      <c r="K72" s="18">
        <v>9100</v>
      </c>
      <c r="L72" s="18">
        <v>0</v>
      </c>
      <c r="M72" s="18">
        <v>0</v>
      </c>
      <c r="N72" s="18">
        <v>0</v>
      </c>
      <c r="O72" s="18">
        <v>0</v>
      </c>
      <c r="P72" s="18">
        <v>830</v>
      </c>
      <c r="Q72" s="18">
        <f>#REF!/#REF!</f>
        <v>6.64</v>
      </c>
      <c r="R72" s="18"/>
      <c r="S72" s="18"/>
      <c r="T72" s="18"/>
      <c r="U72" s="18"/>
      <c r="V72" s="18"/>
      <c r="W72" s="18"/>
      <c r="X72" s="18"/>
      <c r="Y72" s="18">
        <v>1</v>
      </c>
      <c r="Z72" s="18">
        <v>0</v>
      </c>
      <c r="AA72" s="18">
        <v>0</v>
      </c>
      <c r="AB72" s="18">
        <v>760</v>
      </c>
      <c r="AC72" s="18"/>
      <c r="AD72" s="18"/>
      <c r="AE72" s="18">
        <v>155</v>
      </c>
      <c r="AF72" s="18">
        <v>233</v>
      </c>
      <c r="AG72" s="18" t="s">
        <v>148</v>
      </c>
      <c r="AH72" s="18" t="s">
        <v>41</v>
      </c>
      <c r="AI72" s="18" t="s">
        <v>41</v>
      </c>
      <c r="AJ72" s="18">
        <v>1</v>
      </c>
      <c r="AK72" s="18" t="s">
        <v>1466</v>
      </c>
      <c r="AL72" s="19" t="s">
        <v>41</v>
      </c>
    </row>
    <row r="73" spans="1:38">
      <c r="A73" s="17" t="s">
        <v>1074</v>
      </c>
      <c r="B73" s="18" t="s">
        <v>806</v>
      </c>
      <c r="C73" s="18">
        <v>1</v>
      </c>
      <c r="D73" s="18" t="s">
        <v>1075</v>
      </c>
      <c r="E73" s="18" t="s">
        <v>197</v>
      </c>
      <c r="F73" s="18" t="s">
        <v>41</v>
      </c>
      <c r="G73" s="18" t="s">
        <v>198</v>
      </c>
      <c r="H73" s="18">
        <v>21</v>
      </c>
      <c r="I73" s="18">
        <v>170</v>
      </c>
      <c r="J73" s="18">
        <v>3500</v>
      </c>
      <c r="K73" s="18">
        <v>6860</v>
      </c>
      <c r="L73" s="18">
        <v>0</v>
      </c>
      <c r="M73" s="18">
        <v>8</v>
      </c>
      <c r="N73" s="18">
        <v>80</v>
      </c>
      <c r="O73" s="18">
        <v>41</v>
      </c>
      <c r="P73" s="18">
        <v>1110</v>
      </c>
      <c r="Q73" s="18">
        <f>#REF!/#REF!</f>
        <v>6.5294117647058822</v>
      </c>
      <c r="R73" s="18">
        <v>1</v>
      </c>
      <c r="S73" s="18"/>
      <c r="T73" s="18"/>
      <c r="U73" s="18"/>
      <c r="V73" s="18"/>
      <c r="W73" s="18"/>
      <c r="X73" s="18"/>
      <c r="Y73" s="18"/>
      <c r="Z73" s="18">
        <v>0</v>
      </c>
      <c r="AA73" s="18">
        <v>0</v>
      </c>
      <c r="AB73" s="18"/>
      <c r="AC73" s="18"/>
      <c r="AD73" s="18"/>
      <c r="AE73" s="18">
        <v>260</v>
      </c>
      <c r="AF73" s="18">
        <v>390</v>
      </c>
      <c r="AG73" s="18" t="s">
        <v>41</v>
      </c>
      <c r="AH73" s="18" t="s">
        <v>41</v>
      </c>
      <c r="AI73" s="18" t="s">
        <v>1599</v>
      </c>
      <c r="AJ73" s="18">
        <v>1</v>
      </c>
      <c r="AK73" s="18" t="s">
        <v>1600</v>
      </c>
      <c r="AL73" s="19" t="s">
        <v>41</v>
      </c>
    </row>
    <row r="74" spans="1:38">
      <c r="A74" s="17" t="s">
        <v>976</v>
      </c>
      <c r="B74" s="18" t="s">
        <v>806</v>
      </c>
      <c r="C74" s="18">
        <v>1</v>
      </c>
      <c r="D74" s="18" t="s">
        <v>977</v>
      </c>
      <c r="E74" s="18" t="s">
        <v>576</v>
      </c>
      <c r="F74" s="18" t="s">
        <v>41</v>
      </c>
      <c r="G74" s="18" t="s">
        <v>577</v>
      </c>
      <c r="H74" s="18">
        <v>19</v>
      </c>
      <c r="I74" s="18">
        <v>220</v>
      </c>
      <c r="J74" s="18">
        <v>2600</v>
      </c>
      <c r="K74" s="18">
        <v>3100</v>
      </c>
      <c r="L74" s="18">
        <v>0</v>
      </c>
      <c r="M74" s="18">
        <v>0</v>
      </c>
      <c r="N74" s="18">
        <v>0</v>
      </c>
      <c r="O74" s="18">
        <v>59</v>
      </c>
      <c r="P74" s="18">
        <v>1420</v>
      </c>
      <c r="Q74" s="18">
        <f>#REF!/#REF!</f>
        <v>6.4545454545454541</v>
      </c>
      <c r="R74" s="18">
        <v>1</v>
      </c>
      <c r="S74" s="18"/>
      <c r="T74" s="18"/>
      <c r="U74" s="18"/>
      <c r="V74" s="18"/>
      <c r="W74" s="18"/>
      <c r="X74" s="18"/>
      <c r="Y74" s="18"/>
      <c r="Z74" s="18">
        <v>77</v>
      </c>
      <c r="AA74" s="18">
        <v>305</v>
      </c>
      <c r="AB74" s="18"/>
      <c r="AC74" s="18">
        <v>175</v>
      </c>
      <c r="AD74" s="18"/>
      <c r="AE74" s="18">
        <v>305</v>
      </c>
      <c r="AF74" s="18">
        <v>458</v>
      </c>
      <c r="AG74" s="18" t="s">
        <v>41</v>
      </c>
      <c r="AH74" s="18" t="s">
        <v>124</v>
      </c>
      <c r="AI74" s="18" t="s">
        <v>41</v>
      </c>
      <c r="AJ74" s="18">
        <v>1</v>
      </c>
      <c r="AK74" s="18" t="s">
        <v>1552</v>
      </c>
      <c r="AL74" s="19" t="s">
        <v>41</v>
      </c>
    </row>
    <row r="75" spans="1:38">
      <c r="A75" s="17" t="s">
        <v>556</v>
      </c>
      <c r="B75" s="18" t="s">
        <v>38</v>
      </c>
      <c r="C75" s="18">
        <v>1</v>
      </c>
      <c r="D75" s="18" t="s">
        <v>557</v>
      </c>
      <c r="E75" s="18" t="s">
        <v>558</v>
      </c>
      <c r="F75" s="18" t="s">
        <v>41</v>
      </c>
      <c r="G75" s="18" t="s">
        <v>559</v>
      </c>
      <c r="H75" s="18">
        <v>49</v>
      </c>
      <c r="I75" s="18">
        <v>330</v>
      </c>
      <c r="J75" s="18">
        <v>570</v>
      </c>
      <c r="K75" s="18">
        <v>2920</v>
      </c>
      <c r="L75" s="18">
        <v>0</v>
      </c>
      <c r="M75" s="18">
        <v>0</v>
      </c>
      <c r="N75" s="18">
        <v>0</v>
      </c>
      <c r="O75" s="18">
        <v>0</v>
      </c>
      <c r="P75" s="18">
        <v>2100</v>
      </c>
      <c r="Q75" s="18">
        <f>#REF!/#REF!</f>
        <v>6.3636363636363633</v>
      </c>
      <c r="R75" s="18"/>
      <c r="S75" s="18"/>
      <c r="T75" s="18"/>
      <c r="U75" s="18"/>
      <c r="V75" s="18"/>
      <c r="W75" s="18"/>
      <c r="X75" s="18"/>
      <c r="Y75" s="18">
        <v>1</v>
      </c>
      <c r="Z75" s="18">
        <v>0</v>
      </c>
      <c r="AA75" s="18">
        <v>0</v>
      </c>
      <c r="AB75" s="18"/>
      <c r="AC75" s="18"/>
      <c r="AD75" s="18"/>
      <c r="AE75" s="18">
        <v>273</v>
      </c>
      <c r="AF75" s="18">
        <v>410</v>
      </c>
      <c r="AG75" s="18" t="s">
        <v>41</v>
      </c>
      <c r="AH75" s="18" t="s">
        <v>41</v>
      </c>
      <c r="AI75" s="18" t="s">
        <v>41</v>
      </c>
      <c r="AJ75" s="18">
        <v>1</v>
      </c>
      <c r="AK75" s="18" t="s">
        <v>1406</v>
      </c>
      <c r="AL75" s="19" t="s">
        <v>41</v>
      </c>
    </row>
    <row r="76" spans="1:38">
      <c r="A76" s="17" t="s">
        <v>365</v>
      </c>
      <c r="B76" s="18" t="s">
        <v>38</v>
      </c>
      <c r="C76" s="18">
        <v>1</v>
      </c>
      <c r="D76" s="18" t="s">
        <v>366</v>
      </c>
      <c r="E76" s="18" t="s">
        <v>367</v>
      </c>
      <c r="F76" s="18" t="s">
        <v>41</v>
      </c>
      <c r="G76" s="18" t="s">
        <v>368</v>
      </c>
      <c r="H76" s="18">
        <v>16</v>
      </c>
      <c r="I76" s="18">
        <v>109</v>
      </c>
      <c r="J76" s="18">
        <v>911</v>
      </c>
      <c r="K76" s="18">
        <v>1960</v>
      </c>
      <c r="L76" s="18">
        <v>0</v>
      </c>
      <c r="M76" s="18">
        <v>0</v>
      </c>
      <c r="N76" s="18">
        <v>0</v>
      </c>
      <c r="O76" s="18">
        <v>99</v>
      </c>
      <c r="P76" s="18">
        <v>690</v>
      </c>
      <c r="Q76" s="18">
        <f>#REF!/#REF!</f>
        <v>6.330275229357798</v>
      </c>
      <c r="R76" s="18"/>
      <c r="S76" s="18"/>
      <c r="T76" s="18"/>
      <c r="U76" s="18"/>
      <c r="V76" s="18"/>
      <c r="W76" s="18"/>
      <c r="X76" s="18"/>
      <c r="Y76" s="18"/>
      <c r="Z76" s="18">
        <v>90</v>
      </c>
      <c r="AA76" s="18">
        <v>180</v>
      </c>
      <c r="AB76" s="18"/>
      <c r="AC76" s="18"/>
      <c r="AD76" s="18"/>
      <c r="AE76" s="18">
        <v>299</v>
      </c>
      <c r="AF76" s="18">
        <v>449</v>
      </c>
      <c r="AG76" s="18" t="s">
        <v>41</v>
      </c>
      <c r="AH76" s="18" t="s">
        <v>124</v>
      </c>
      <c r="AI76" s="18" t="s">
        <v>41</v>
      </c>
      <c r="AJ76" s="18">
        <v>1</v>
      </c>
      <c r="AK76" s="18" t="s">
        <v>1351</v>
      </c>
      <c r="AL76" s="19" t="s">
        <v>41</v>
      </c>
    </row>
    <row r="77" spans="1:38">
      <c r="A77" s="17" t="s">
        <v>735</v>
      </c>
      <c r="B77" s="18" t="s">
        <v>38</v>
      </c>
      <c r="C77" s="18">
        <v>3</v>
      </c>
      <c r="D77" s="18" t="s">
        <v>736</v>
      </c>
      <c r="E77" s="18" t="s">
        <v>737</v>
      </c>
      <c r="F77" s="18" t="s">
        <v>41</v>
      </c>
      <c r="G77" s="18" t="s">
        <v>735</v>
      </c>
      <c r="H77" s="18">
        <v>41</v>
      </c>
      <c r="I77" s="18">
        <v>9000</v>
      </c>
      <c r="J77" s="18">
        <v>240000</v>
      </c>
      <c r="K77" s="18">
        <v>250000</v>
      </c>
      <c r="L77" s="18">
        <v>0</v>
      </c>
      <c r="M77" s="18">
        <v>0</v>
      </c>
      <c r="N77" s="18">
        <v>0</v>
      </c>
      <c r="O77" s="18">
        <v>54</v>
      </c>
      <c r="P77" s="18">
        <v>56000</v>
      </c>
      <c r="Q77" s="18">
        <f>#REF!/#REF!</f>
        <v>6.2222222222222223</v>
      </c>
      <c r="R77" s="18"/>
      <c r="S77" s="18"/>
      <c r="T77" s="18"/>
      <c r="U77" s="18"/>
      <c r="V77" s="18"/>
      <c r="W77" s="18"/>
      <c r="X77" s="18"/>
      <c r="Y77" s="18"/>
      <c r="Z77" s="18">
        <v>968</v>
      </c>
      <c r="AA77" s="18">
        <v>1050</v>
      </c>
      <c r="AB77" s="18"/>
      <c r="AC77" s="18"/>
      <c r="AD77" s="18"/>
      <c r="AE77" s="18">
        <v>600</v>
      </c>
      <c r="AF77" s="18">
        <v>900</v>
      </c>
      <c r="AG77" s="18" t="s">
        <v>41</v>
      </c>
      <c r="AH77" s="18" t="s">
        <v>738</v>
      </c>
      <c r="AI77" s="18" t="s">
        <v>41</v>
      </c>
      <c r="AJ77" s="18">
        <v>1</v>
      </c>
      <c r="AK77" s="18" t="s">
        <v>1451</v>
      </c>
      <c r="AL77" s="19" t="s">
        <v>41</v>
      </c>
    </row>
    <row r="78" spans="1:38">
      <c r="A78" s="17" t="s">
        <v>891</v>
      </c>
      <c r="B78" s="18" t="s">
        <v>806</v>
      </c>
      <c r="C78" s="18">
        <v>2</v>
      </c>
      <c r="D78" s="18" t="s">
        <v>892</v>
      </c>
      <c r="E78" s="18" t="s">
        <v>258</v>
      </c>
      <c r="F78" s="18" t="s">
        <v>41</v>
      </c>
      <c r="G78" s="18" t="s">
        <v>893</v>
      </c>
      <c r="H78" s="18">
        <v>31</v>
      </c>
      <c r="I78" s="18">
        <v>1000</v>
      </c>
      <c r="J78" s="18">
        <v>12000</v>
      </c>
      <c r="K78" s="18">
        <v>17000</v>
      </c>
      <c r="L78" s="18">
        <v>0</v>
      </c>
      <c r="M78" s="18">
        <v>0</v>
      </c>
      <c r="N78" s="18">
        <v>0</v>
      </c>
      <c r="O78" s="18">
        <v>54</v>
      </c>
      <c r="P78" s="18">
        <v>6200</v>
      </c>
      <c r="Q78" s="18">
        <f>#REF!/#REF!</f>
        <v>6.2</v>
      </c>
      <c r="R78" s="18"/>
      <c r="S78" s="18"/>
      <c r="T78" s="18"/>
      <c r="U78" s="18"/>
      <c r="V78" s="18">
        <v>1</v>
      </c>
      <c r="W78" s="18"/>
      <c r="X78" s="18"/>
      <c r="Y78" s="18"/>
      <c r="Z78" s="18">
        <v>532</v>
      </c>
      <c r="AA78" s="18">
        <v>500</v>
      </c>
      <c r="AB78" s="18"/>
      <c r="AC78" s="18">
        <v>375</v>
      </c>
      <c r="AD78" s="18"/>
      <c r="AE78" s="18">
        <v>600</v>
      </c>
      <c r="AF78" s="18">
        <v>900</v>
      </c>
      <c r="AG78" s="18" t="s">
        <v>41</v>
      </c>
      <c r="AH78" s="18" t="s">
        <v>894</v>
      </c>
      <c r="AI78" s="18" t="s">
        <v>41</v>
      </c>
      <c r="AJ78" s="18">
        <v>1</v>
      </c>
      <c r="AK78" s="18" t="s">
        <v>1513</v>
      </c>
      <c r="AL78" s="19" t="s">
        <v>41</v>
      </c>
    </row>
    <row r="79" spans="1:38">
      <c r="A79" s="17" t="s">
        <v>1220</v>
      </c>
      <c r="B79" s="18" t="s">
        <v>806</v>
      </c>
      <c r="C79" s="18">
        <v>2</v>
      </c>
      <c r="D79" s="18" t="s">
        <v>1221</v>
      </c>
      <c r="E79" s="18" t="s">
        <v>655</v>
      </c>
      <c r="F79" s="18" t="s">
        <v>41</v>
      </c>
      <c r="G79" s="18" t="s">
        <v>656</v>
      </c>
      <c r="H79" s="18">
        <v>30</v>
      </c>
      <c r="I79" s="18">
        <v>92</v>
      </c>
      <c r="J79" s="18">
        <v>1300</v>
      </c>
      <c r="K79" s="18">
        <v>4220</v>
      </c>
      <c r="L79" s="18">
        <v>0</v>
      </c>
      <c r="M79" s="18">
        <v>0</v>
      </c>
      <c r="N79" s="18">
        <v>0</v>
      </c>
      <c r="O79" s="18">
        <v>48</v>
      </c>
      <c r="P79" s="18">
        <v>570</v>
      </c>
      <c r="Q79" s="18">
        <f>#REF!/#REF!</f>
        <v>6.1956521739130439</v>
      </c>
      <c r="R79" s="18"/>
      <c r="S79" s="18"/>
      <c r="T79" s="18"/>
      <c r="U79" s="18"/>
      <c r="V79" s="18"/>
      <c r="W79" s="18"/>
      <c r="X79" s="18"/>
      <c r="Y79" s="18"/>
      <c r="Z79" s="18">
        <v>0</v>
      </c>
      <c r="AA79" s="18">
        <v>0</v>
      </c>
      <c r="AB79" s="18"/>
      <c r="AC79" s="18"/>
      <c r="AD79" s="18">
        <v>2200</v>
      </c>
      <c r="AE79" s="18">
        <v>900</v>
      </c>
      <c r="AF79" s="18">
        <v>1350</v>
      </c>
      <c r="AG79" s="18" t="s">
        <v>48</v>
      </c>
      <c r="AH79" s="18" t="s">
        <v>41</v>
      </c>
      <c r="AI79" s="18" t="s">
        <v>41</v>
      </c>
      <c r="AJ79" s="18">
        <v>1</v>
      </c>
      <c r="AK79" s="18" t="s">
        <v>1669</v>
      </c>
      <c r="AL79" s="19" t="s">
        <v>41</v>
      </c>
    </row>
    <row r="80" spans="1:38">
      <c r="A80" s="17" t="s">
        <v>1073</v>
      </c>
      <c r="B80" s="18" t="s">
        <v>806</v>
      </c>
      <c r="C80" s="18">
        <v>1</v>
      </c>
      <c r="D80" s="18" t="s">
        <v>557</v>
      </c>
      <c r="E80" s="18" t="s">
        <v>558</v>
      </c>
      <c r="F80" s="18" t="s">
        <v>41</v>
      </c>
      <c r="G80" s="18" t="s">
        <v>559</v>
      </c>
      <c r="H80" s="18">
        <v>56</v>
      </c>
      <c r="I80" s="18">
        <v>340</v>
      </c>
      <c r="J80" s="18">
        <v>590</v>
      </c>
      <c r="K80" s="18">
        <v>2920</v>
      </c>
      <c r="L80" s="18">
        <v>0</v>
      </c>
      <c r="M80" s="18">
        <v>0</v>
      </c>
      <c r="N80" s="18">
        <v>0</v>
      </c>
      <c r="O80" s="18">
        <v>0</v>
      </c>
      <c r="P80" s="18">
        <v>2100</v>
      </c>
      <c r="Q80" s="18">
        <f>#REF!/#REF!</f>
        <v>6.1764705882352944</v>
      </c>
      <c r="R80" s="18"/>
      <c r="S80" s="18"/>
      <c r="T80" s="18"/>
      <c r="U80" s="18"/>
      <c r="V80" s="18"/>
      <c r="W80" s="18"/>
      <c r="X80" s="18"/>
      <c r="Y80" s="18">
        <v>1</v>
      </c>
      <c r="Z80" s="18">
        <v>0</v>
      </c>
      <c r="AA80" s="18">
        <v>0</v>
      </c>
      <c r="AB80" s="18"/>
      <c r="AC80" s="18"/>
      <c r="AD80" s="18"/>
      <c r="AE80" s="18">
        <v>273</v>
      </c>
      <c r="AF80" s="18">
        <v>410</v>
      </c>
      <c r="AG80" s="18" t="s">
        <v>41</v>
      </c>
      <c r="AH80" s="18" t="s">
        <v>41</v>
      </c>
      <c r="AI80" s="18" t="s">
        <v>41</v>
      </c>
      <c r="AJ80" s="18">
        <v>1</v>
      </c>
      <c r="AK80" s="18" t="s">
        <v>1598</v>
      </c>
      <c r="AL80" s="19" t="s">
        <v>41</v>
      </c>
    </row>
    <row r="81" spans="1:38">
      <c r="A81" s="17" t="s">
        <v>1205</v>
      </c>
      <c r="B81" s="18" t="s">
        <v>806</v>
      </c>
      <c r="C81" s="18">
        <v>1</v>
      </c>
      <c r="D81" s="18" t="s">
        <v>768</v>
      </c>
      <c r="E81" s="18" t="s">
        <v>558</v>
      </c>
      <c r="F81" s="18" t="s">
        <v>41</v>
      </c>
      <c r="G81" s="18" t="s">
        <v>559</v>
      </c>
      <c r="H81" s="18">
        <v>32</v>
      </c>
      <c r="I81" s="18">
        <v>340</v>
      </c>
      <c r="J81" s="18">
        <v>590</v>
      </c>
      <c r="K81" s="18">
        <v>2920</v>
      </c>
      <c r="L81" s="18">
        <v>0</v>
      </c>
      <c r="M81" s="18">
        <v>0</v>
      </c>
      <c r="N81" s="18">
        <v>0</v>
      </c>
      <c r="O81" s="18">
        <v>0</v>
      </c>
      <c r="P81" s="18">
        <v>2100</v>
      </c>
      <c r="Q81" s="18">
        <f>#REF!/#REF!</f>
        <v>6.1764705882352944</v>
      </c>
      <c r="R81" s="18"/>
      <c r="S81" s="18">
        <v>1</v>
      </c>
      <c r="T81" s="18"/>
      <c r="U81" s="18"/>
      <c r="V81" s="18"/>
      <c r="W81" s="18"/>
      <c r="X81" s="18"/>
      <c r="Y81" s="18">
        <v>1</v>
      </c>
      <c r="Z81" s="18">
        <v>0</v>
      </c>
      <c r="AA81" s="18">
        <v>0</v>
      </c>
      <c r="AB81" s="18"/>
      <c r="AC81" s="18"/>
      <c r="AD81" s="18"/>
      <c r="AE81" s="18">
        <v>169</v>
      </c>
      <c r="AF81" s="18">
        <v>254</v>
      </c>
      <c r="AG81" s="18" t="s">
        <v>41</v>
      </c>
      <c r="AH81" s="18" t="s">
        <v>41</v>
      </c>
      <c r="AI81" s="18" t="s">
        <v>41</v>
      </c>
      <c r="AJ81" s="18">
        <v>1</v>
      </c>
      <c r="AK81" s="18" t="s">
        <v>1662</v>
      </c>
      <c r="AL81" s="19" t="s">
        <v>41</v>
      </c>
    </row>
    <row r="82" spans="1:38">
      <c r="A82" s="17" t="s">
        <v>1066</v>
      </c>
      <c r="B82" s="18" t="s">
        <v>806</v>
      </c>
      <c r="C82" s="18">
        <v>2</v>
      </c>
      <c r="D82" s="18" t="s">
        <v>549</v>
      </c>
      <c r="E82" s="18" t="s">
        <v>550</v>
      </c>
      <c r="F82" s="18" t="s">
        <v>41</v>
      </c>
      <c r="G82" s="18" t="s">
        <v>551</v>
      </c>
      <c r="H82" s="18">
        <v>34</v>
      </c>
      <c r="I82" s="18">
        <v>640</v>
      </c>
      <c r="J82" s="18">
        <v>8100</v>
      </c>
      <c r="K82" s="18">
        <v>14100</v>
      </c>
      <c r="L82" s="18">
        <v>0</v>
      </c>
      <c r="M82" s="18">
        <v>0</v>
      </c>
      <c r="N82" s="18">
        <v>0</v>
      </c>
      <c r="O82" s="18">
        <v>0</v>
      </c>
      <c r="P82" s="18">
        <v>3900</v>
      </c>
      <c r="Q82" s="18">
        <f>#REF!/#REF!</f>
        <v>6.09375</v>
      </c>
      <c r="R82" s="18"/>
      <c r="S82" s="18"/>
      <c r="T82" s="18"/>
      <c r="U82" s="18"/>
      <c r="V82" s="18"/>
      <c r="W82" s="18"/>
      <c r="X82" s="18"/>
      <c r="Y82" s="18">
        <v>1</v>
      </c>
      <c r="Z82" s="18">
        <v>0</v>
      </c>
      <c r="AA82" s="18">
        <v>0</v>
      </c>
      <c r="AB82" s="18"/>
      <c r="AC82" s="18"/>
      <c r="AD82" s="18"/>
      <c r="AE82" s="18">
        <v>273</v>
      </c>
      <c r="AF82" s="18">
        <v>410</v>
      </c>
      <c r="AG82" s="18" t="s">
        <v>41</v>
      </c>
      <c r="AH82" s="18" t="s">
        <v>41</v>
      </c>
      <c r="AI82" s="18" t="s">
        <v>41</v>
      </c>
      <c r="AJ82" s="18">
        <v>1</v>
      </c>
      <c r="AK82" s="18" t="s">
        <v>1595</v>
      </c>
      <c r="AL82" s="19" t="s">
        <v>41</v>
      </c>
    </row>
    <row r="83" spans="1:38">
      <c r="A83" s="17" t="s">
        <v>1203</v>
      </c>
      <c r="B83" s="18" t="s">
        <v>806</v>
      </c>
      <c r="C83" s="18">
        <v>2</v>
      </c>
      <c r="D83" s="18" t="s">
        <v>764</v>
      </c>
      <c r="E83" s="18" t="s">
        <v>550</v>
      </c>
      <c r="F83" s="18" t="s">
        <v>41</v>
      </c>
      <c r="G83" s="18" t="s">
        <v>551</v>
      </c>
      <c r="H83" s="18">
        <v>28</v>
      </c>
      <c r="I83" s="18">
        <v>640</v>
      </c>
      <c r="J83" s="18">
        <v>8100</v>
      </c>
      <c r="K83" s="18">
        <v>14100</v>
      </c>
      <c r="L83" s="18">
        <v>0</v>
      </c>
      <c r="M83" s="18">
        <v>0</v>
      </c>
      <c r="N83" s="18">
        <v>0</v>
      </c>
      <c r="O83" s="18">
        <v>0</v>
      </c>
      <c r="P83" s="18">
        <v>3900</v>
      </c>
      <c r="Q83" s="18">
        <f>#REF!/#REF!</f>
        <v>6.09375</v>
      </c>
      <c r="R83" s="18"/>
      <c r="S83" s="18">
        <v>1</v>
      </c>
      <c r="T83" s="18"/>
      <c r="U83" s="18"/>
      <c r="V83" s="18"/>
      <c r="W83" s="18"/>
      <c r="X83" s="18"/>
      <c r="Y83" s="18">
        <v>1</v>
      </c>
      <c r="Z83" s="18">
        <v>0</v>
      </c>
      <c r="AA83" s="18">
        <v>0</v>
      </c>
      <c r="AB83" s="18"/>
      <c r="AC83" s="18"/>
      <c r="AD83" s="18"/>
      <c r="AE83" s="18">
        <v>169</v>
      </c>
      <c r="AF83" s="18">
        <v>254</v>
      </c>
      <c r="AG83" s="18" t="s">
        <v>41</v>
      </c>
      <c r="AH83" s="18" t="s">
        <v>41</v>
      </c>
      <c r="AI83" s="18" t="s">
        <v>41</v>
      </c>
      <c r="AJ83" s="18">
        <v>1</v>
      </c>
      <c r="AK83" s="18" t="s">
        <v>1660</v>
      </c>
      <c r="AL83" s="19" t="s">
        <v>41</v>
      </c>
    </row>
    <row r="84" spans="1:38">
      <c r="A84" s="17" t="s">
        <v>1138</v>
      </c>
      <c r="B84" s="18" t="s">
        <v>806</v>
      </c>
      <c r="C84" s="18">
        <v>3</v>
      </c>
      <c r="D84" s="18" t="s">
        <v>1139</v>
      </c>
      <c r="E84" s="18" t="s">
        <v>1140</v>
      </c>
      <c r="F84" s="18" t="s">
        <v>41</v>
      </c>
      <c r="G84" s="18" t="s">
        <v>1141</v>
      </c>
      <c r="H84" s="18">
        <v>60</v>
      </c>
      <c r="I84" s="18">
        <v>1550</v>
      </c>
      <c r="J84" s="18">
        <v>23000</v>
      </c>
      <c r="K84" s="18">
        <v>30600</v>
      </c>
      <c r="L84" s="18">
        <v>0</v>
      </c>
      <c r="M84" s="18">
        <v>0</v>
      </c>
      <c r="N84" s="18">
        <v>0</v>
      </c>
      <c r="O84" s="18">
        <v>48</v>
      </c>
      <c r="P84" s="18">
        <v>9400</v>
      </c>
      <c r="Q84" s="18">
        <f>#REF!/#REF!</f>
        <v>6.064516129032258</v>
      </c>
      <c r="R84" s="18">
        <v>1</v>
      </c>
      <c r="S84" s="18"/>
      <c r="T84" s="18"/>
      <c r="U84" s="18"/>
      <c r="V84" s="18"/>
      <c r="W84" s="18"/>
      <c r="X84" s="18"/>
      <c r="Y84" s="18"/>
      <c r="Z84" s="18">
        <v>407</v>
      </c>
      <c r="AA84" s="18">
        <v>800</v>
      </c>
      <c r="AB84" s="18"/>
      <c r="AC84" s="18"/>
      <c r="AD84" s="18"/>
      <c r="AE84" s="18">
        <v>520</v>
      </c>
      <c r="AF84" s="18">
        <v>780</v>
      </c>
      <c r="AG84" s="18" t="s">
        <v>41</v>
      </c>
      <c r="AH84" s="18" t="s">
        <v>1142</v>
      </c>
      <c r="AI84" s="18" t="s">
        <v>41</v>
      </c>
      <c r="AJ84" s="18">
        <v>1</v>
      </c>
      <c r="AK84" s="18" t="s">
        <v>1629</v>
      </c>
      <c r="AL84" s="19" t="s">
        <v>41</v>
      </c>
    </row>
    <row r="85" spans="1:38">
      <c r="A85" s="17" t="s">
        <v>620</v>
      </c>
      <c r="B85" s="18" t="s">
        <v>38</v>
      </c>
      <c r="C85" s="18">
        <v>1</v>
      </c>
      <c r="D85" s="18" t="s">
        <v>621</v>
      </c>
      <c r="E85" s="18" t="s">
        <v>622</v>
      </c>
      <c r="F85" s="18" t="s">
        <v>41</v>
      </c>
      <c r="G85" s="18" t="s">
        <v>623</v>
      </c>
      <c r="H85" s="18">
        <v>28</v>
      </c>
      <c r="I85" s="18">
        <v>120</v>
      </c>
      <c r="J85" s="18">
        <v>1000</v>
      </c>
      <c r="K85" s="18">
        <v>2010</v>
      </c>
      <c r="L85" s="18">
        <v>0</v>
      </c>
      <c r="M85" s="18">
        <v>0</v>
      </c>
      <c r="N85" s="18">
        <v>0</v>
      </c>
      <c r="O85" s="18">
        <v>51</v>
      </c>
      <c r="P85" s="18">
        <v>720</v>
      </c>
      <c r="Q85" s="18">
        <f>#REF!/#REF!</f>
        <v>6</v>
      </c>
      <c r="R85" s="18"/>
      <c r="S85" s="18"/>
      <c r="T85" s="18"/>
      <c r="U85" s="18"/>
      <c r="V85" s="18"/>
      <c r="W85" s="18"/>
      <c r="X85" s="18"/>
      <c r="Y85" s="18"/>
      <c r="Z85" s="18">
        <v>41</v>
      </c>
      <c r="AA85" s="18">
        <v>475</v>
      </c>
      <c r="AB85" s="18"/>
      <c r="AC85" s="18"/>
      <c r="AD85" s="18"/>
      <c r="AE85" s="18">
        <v>338</v>
      </c>
      <c r="AF85" s="18">
        <v>507</v>
      </c>
      <c r="AG85" s="18" t="s">
        <v>41</v>
      </c>
      <c r="AH85" s="18" t="s">
        <v>88</v>
      </c>
      <c r="AI85" s="18" t="s">
        <v>41</v>
      </c>
      <c r="AJ85" s="18">
        <v>1</v>
      </c>
      <c r="AK85" s="18" t="s">
        <v>1422</v>
      </c>
      <c r="AL85" s="19" t="s">
        <v>41</v>
      </c>
    </row>
    <row r="86" spans="1:38">
      <c r="A86" s="17" t="s">
        <v>932</v>
      </c>
      <c r="B86" s="18" t="s">
        <v>806</v>
      </c>
      <c r="C86" s="18">
        <v>1</v>
      </c>
      <c r="D86" s="18" t="s">
        <v>933</v>
      </c>
      <c r="E86" s="18" t="s">
        <v>934</v>
      </c>
      <c r="F86" s="18" t="s">
        <v>41</v>
      </c>
      <c r="G86" s="18" t="s">
        <v>935</v>
      </c>
      <c r="H86" s="18">
        <v>46</v>
      </c>
      <c r="I86" s="18">
        <v>240</v>
      </c>
      <c r="J86" s="18">
        <v>1900</v>
      </c>
      <c r="K86" s="18">
        <v>2720</v>
      </c>
      <c r="L86" s="18">
        <v>0</v>
      </c>
      <c r="M86" s="18">
        <v>0</v>
      </c>
      <c r="N86" s="18">
        <v>0</v>
      </c>
      <c r="O86" s="18">
        <v>0</v>
      </c>
      <c r="P86" s="18">
        <v>1440</v>
      </c>
      <c r="Q86" s="18">
        <f>#REF!/#REF!</f>
        <v>6</v>
      </c>
      <c r="R86" s="18"/>
      <c r="S86" s="18"/>
      <c r="T86" s="18"/>
      <c r="U86" s="18"/>
      <c r="V86" s="18"/>
      <c r="W86" s="18"/>
      <c r="X86" s="18"/>
      <c r="Y86" s="18">
        <v>1</v>
      </c>
      <c r="Z86" s="18">
        <v>161</v>
      </c>
      <c r="AA86" s="18">
        <v>435</v>
      </c>
      <c r="AB86" s="18"/>
      <c r="AC86" s="18"/>
      <c r="AD86" s="18"/>
      <c r="AE86" s="18">
        <v>455</v>
      </c>
      <c r="AF86" s="18">
        <v>683</v>
      </c>
      <c r="AG86" s="18" t="s">
        <v>41</v>
      </c>
      <c r="AH86" s="18" t="s">
        <v>128</v>
      </c>
      <c r="AI86" s="18" t="s">
        <v>41</v>
      </c>
      <c r="AJ86" s="18">
        <v>1</v>
      </c>
      <c r="AK86" s="18" t="s">
        <v>1529</v>
      </c>
      <c r="AL86" s="19" t="s">
        <v>41</v>
      </c>
    </row>
    <row r="87" spans="1:38">
      <c r="A87" s="17" t="s">
        <v>1081</v>
      </c>
      <c r="B87" s="18" t="s">
        <v>806</v>
      </c>
      <c r="C87" s="18">
        <v>2</v>
      </c>
      <c r="D87" s="18" t="s">
        <v>1082</v>
      </c>
      <c r="E87" s="18" t="s">
        <v>1083</v>
      </c>
      <c r="F87" s="18" t="s">
        <v>41</v>
      </c>
      <c r="G87" s="18" t="s">
        <v>1081</v>
      </c>
      <c r="H87" s="18">
        <v>24</v>
      </c>
      <c r="I87" s="18">
        <v>1050</v>
      </c>
      <c r="J87" s="18">
        <v>29000</v>
      </c>
      <c r="K87" s="18">
        <v>22200</v>
      </c>
      <c r="L87" s="18">
        <v>0</v>
      </c>
      <c r="M87" s="18">
        <v>0</v>
      </c>
      <c r="N87" s="18">
        <v>0</v>
      </c>
      <c r="O87" s="18">
        <v>51</v>
      </c>
      <c r="P87" s="18">
        <v>6300</v>
      </c>
      <c r="Q87" s="18">
        <f>#REF!/#REF!</f>
        <v>6</v>
      </c>
      <c r="R87" s="18">
        <v>1</v>
      </c>
      <c r="S87" s="18"/>
      <c r="T87" s="18"/>
      <c r="U87" s="18"/>
      <c r="V87" s="18"/>
      <c r="W87" s="18"/>
      <c r="X87" s="18"/>
      <c r="Y87" s="18"/>
      <c r="Z87" s="18">
        <v>206</v>
      </c>
      <c r="AA87" s="18">
        <v>575</v>
      </c>
      <c r="AB87" s="18"/>
      <c r="AC87" s="18">
        <v>288</v>
      </c>
      <c r="AD87" s="18"/>
      <c r="AE87" s="18">
        <v>385</v>
      </c>
      <c r="AF87" s="18">
        <v>578</v>
      </c>
      <c r="AG87" s="18" t="s">
        <v>41</v>
      </c>
      <c r="AH87" s="18" t="s">
        <v>124</v>
      </c>
      <c r="AI87" s="18" t="s">
        <v>41</v>
      </c>
      <c r="AJ87" s="18">
        <v>1</v>
      </c>
      <c r="AK87" s="18" t="s">
        <v>1604</v>
      </c>
      <c r="AL87" s="19" t="s">
        <v>41</v>
      </c>
    </row>
    <row r="88" spans="1:38">
      <c r="A88" s="17" t="s">
        <v>1113</v>
      </c>
      <c r="B88" s="18" t="s">
        <v>806</v>
      </c>
      <c r="C88" s="18">
        <v>2</v>
      </c>
      <c r="D88" s="18" t="s">
        <v>1114</v>
      </c>
      <c r="E88" s="18" t="s">
        <v>1115</v>
      </c>
      <c r="F88" s="18" t="s">
        <v>41</v>
      </c>
      <c r="G88" s="18" t="s">
        <v>1116</v>
      </c>
      <c r="H88" s="18">
        <v>19</v>
      </c>
      <c r="I88" s="18">
        <v>350</v>
      </c>
      <c r="J88" s="18">
        <v>7000</v>
      </c>
      <c r="K88" s="18">
        <v>7900</v>
      </c>
      <c r="L88" s="18">
        <v>0</v>
      </c>
      <c r="M88" s="18">
        <v>0</v>
      </c>
      <c r="N88" s="18">
        <v>0</v>
      </c>
      <c r="O88" s="18">
        <v>72</v>
      </c>
      <c r="P88" s="18">
        <v>2100</v>
      </c>
      <c r="Q88" s="18">
        <f>#REF!/#REF!</f>
        <v>6</v>
      </c>
      <c r="R88" s="18">
        <v>1</v>
      </c>
      <c r="S88" s="18"/>
      <c r="T88" s="18"/>
      <c r="U88" s="18"/>
      <c r="V88" s="18"/>
      <c r="W88" s="18"/>
      <c r="X88" s="18"/>
      <c r="Y88" s="18"/>
      <c r="Z88" s="18">
        <v>164</v>
      </c>
      <c r="AA88" s="18">
        <v>340</v>
      </c>
      <c r="AB88" s="18"/>
      <c r="AC88" s="18">
        <v>299</v>
      </c>
      <c r="AD88" s="18"/>
      <c r="AE88" s="18">
        <v>385</v>
      </c>
      <c r="AF88" s="18">
        <v>578</v>
      </c>
      <c r="AG88" s="18" t="s">
        <v>41</v>
      </c>
      <c r="AH88" s="18" t="s">
        <v>128</v>
      </c>
      <c r="AI88" s="18" t="s">
        <v>41</v>
      </c>
      <c r="AJ88" s="18">
        <v>1</v>
      </c>
      <c r="AK88" s="18" t="s">
        <v>1617</v>
      </c>
      <c r="AL88" s="19" t="s">
        <v>41</v>
      </c>
    </row>
    <row r="89" spans="1:38">
      <c r="A89" s="17" t="s">
        <v>1124</v>
      </c>
      <c r="B89" s="18" t="s">
        <v>806</v>
      </c>
      <c r="C89" s="18">
        <v>2</v>
      </c>
      <c r="D89" s="18" t="s">
        <v>1125</v>
      </c>
      <c r="E89" s="18" t="s">
        <v>1621</v>
      </c>
      <c r="F89" s="18" t="s">
        <v>41</v>
      </c>
      <c r="G89" s="18" t="s">
        <v>171</v>
      </c>
      <c r="H89" s="18">
        <v>32</v>
      </c>
      <c r="I89" s="18">
        <v>370</v>
      </c>
      <c r="J89" s="18">
        <v>6400</v>
      </c>
      <c r="K89" s="18">
        <v>10000</v>
      </c>
      <c r="L89" s="18">
        <v>0</v>
      </c>
      <c r="M89" s="18">
        <v>0</v>
      </c>
      <c r="N89" s="18">
        <v>0</v>
      </c>
      <c r="O89" s="18">
        <v>235</v>
      </c>
      <c r="P89" s="18">
        <v>2200</v>
      </c>
      <c r="Q89" s="18">
        <f>#REF!/#REF!</f>
        <v>5.9459459459459456</v>
      </c>
      <c r="R89" s="18"/>
      <c r="S89" s="18"/>
      <c r="T89" s="18">
        <v>1</v>
      </c>
      <c r="U89" s="18"/>
      <c r="V89" s="18"/>
      <c r="W89" s="18"/>
      <c r="X89" s="18"/>
      <c r="Y89" s="18"/>
      <c r="Z89" s="18">
        <v>0</v>
      </c>
      <c r="AA89" s="18">
        <v>0</v>
      </c>
      <c r="AB89" s="18"/>
      <c r="AC89" s="18"/>
      <c r="AD89" s="18"/>
      <c r="AE89" s="18">
        <v>500</v>
      </c>
      <c r="AF89" s="18">
        <v>750</v>
      </c>
      <c r="AG89" s="18" t="s">
        <v>172</v>
      </c>
      <c r="AH89" s="18" t="s">
        <v>41</v>
      </c>
      <c r="AI89" s="18" t="s">
        <v>41</v>
      </c>
      <c r="AJ89" s="18">
        <v>1</v>
      </c>
      <c r="AK89" s="18" t="s">
        <v>1622</v>
      </c>
      <c r="AL89" s="19" t="s">
        <v>41</v>
      </c>
    </row>
    <row r="90" spans="1:38">
      <c r="A90" s="17" t="s">
        <v>223</v>
      </c>
      <c r="B90" s="18" t="s">
        <v>38</v>
      </c>
      <c r="C90" s="18">
        <v>1</v>
      </c>
      <c r="D90" s="18" t="s">
        <v>224</v>
      </c>
      <c r="E90" s="18" t="s">
        <v>225</v>
      </c>
      <c r="F90" s="18" t="s">
        <v>41</v>
      </c>
      <c r="G90" s="18" t="s">
        <v>226</v>
      </c>
      <c r="H90" s="18">
        <v>65</v>
      </c>
      <c r="I90" s="18">
        <v>750</v>
      </c>
      <c r="J90" s="18">
        <v>7300</v>
      </c>
      <c r="K90" s="18">
        <v>12000</v>
      </c>
      <c r="L90" s="18">
        <v>0</v>
      </c>
      <c r="M90" s="18">
        <v>0</v>
      </c>
      <c r="N90" s="18">
        <v>0</v>
      </c>
      <c r="O90" s="18">
        <v>0</v>
      </c>
      <c r="P90" s="18">
        <v>4450</v>
      </c>
      <c r="Q90" s="18">
        <f>#REF!/#REF!</f>
        <v>5.9333333333333336</v>
      </c>
      <c r="R90" s="18"/>
      <c r="S90" s="18"/>
      <c r="T90" s="18"/>
      <c r="U90" s="18"/>
      <c r="V90" s="18"/>
      <c r="W90" s="18"/>
      <c r="X90" s="18"/>
      <c r="Y90" s="18">
        <v>1</v>
      </c>
      <c r="Z90" s="18">
        <v>625</v>
      </c>
      <c r="AA90" s="18">
        <v>1125</v>
      </c>
      <c r="AB90" s="18"/>
      <c r="AC90" s="18"/>
      <c r="AD90" s="18"/>
      <c r="AE90" s="18">
        <v>380</v>
      </c>
      <c r="AF90" s="18">
        <v>1060</v>
      </c>
      <c r="AG90" s="18" t="s">
        <v>41</v>
      </c>
      <c r="AH90" s="18" t="s">
        <v>88</v>
      </c>
      <c r="AI90" s="18" t="s">
        <v>41</v>
      </c>
      <c r="AJ90" s="18">
        <v>1</v>
      </c>
      <c r="AK90" s="18" t="s">
        <v>1317</v>
      </c>
      <c r="AL90" s="19" t="s">
        <v>41</v>
      </c>
    </row>
    <row r="91" spans="1:38">
      <c r="A91" s="17" t="s">
        <v>425</v>
      </c>
      <c r="B91" s="18" t="s">
        <v>38</v>
      </c>
      <c r="C91" s="18">
        <v>1</v>
      </c>
      <c r="D91" s="18" t="s">
        <v>426</v>
      </c>
      <c r="E91" s="18" t="s">
        <v>427</v>
      </c>
      <c r="F91" s="18" t="s">
        <v>41</v>
      </c>
      <c r="G91" s="18" t="s">
        <v>428</v>
      </c>
      <c r="H91" s="18">
        <v>96</v>
      </c>
      <c r="I91" s="18">
        <v>440</v>
      </c>
      <c r="J91" s="18">
        <v>4700</v>
      </c>
      <c r="K91" s="18">
        <v>12500</v>
      </c>
      <c r="L91" s="18">
        <v>0</v>
      </c>
      <c r="M91" s="18">
        <v>0</v>
      </c>
      <c r="N91" s="18">
        <v>0</v>
      </c>
      <c r="O91" s="18">
        <v>0</v>
      </c>
      <c r="P91" s="18">
        <v>2600</v>
      </c>
      <c r="Q91" s="18">
        <f>#REF!/#REF!</f>
        <v>5.9090909090909092</v>
      </c>
      <c r="R91" s="18"/>
      <c r="S91" s="18"/>
      <c r="T91" s="18"/>
      <c r="U91" s="18"/>
      <c r="V91" s="18"/>
      <c r="W91" s="18"/>
      <c r="X91" s="18"/>
      <c r="Y91" s="18">
        <v>1</v>
      </c>
      <c r="Z91" s="18">
        <v>215</v>
      </c>
      <c r="AA91" s="18">
        <v>620</v>
      </c>
      <c r="AB91" s="18"/>
      <c r="AC91" s="18"/>
      <c r="AD91" s="18"/>
      <c r="AE91" s="18">
        <v>494</v>
      </c>
      <c r="AF91" s="18">
        <v>741</v>
      </c>
      <c r="AG91" s="18" t="s">
        <v>41</v>
      </c>
      <c r="AH91" s="18" t="s">
        <v>128</v>
      </c>
      <c r="AI91" s="18" t="s">
        <v>41</v>
      </c>
      <c r="AJ91" s="18">
        <v>1</v>
      </c>
      <c r="AK91" s="18" t="s">
        <v>1366</v>
      </c>
      <c r="AL91" s="19" t="s">
        <v>41</v>
      </c>
    </row>
    <row r="92" spans="1:38">
      <c r="A92" s="17" t="s">
        <v>789</v>
      </c>
      <c r="B92" s="18" t="s">
        <v>38</v>
      </c>
      <c r="C92" s="18">
        <v>1</v>
      </c>
      <c r="D92" s="18" t="s">
        <v>790</v>
      </c>
      <c r="E92" s="18" t="s">
        <v>791</v>
      </c>
      <c r="F92" s="18" t="s">
        <v>41</v>
      </c>
      <c r="G92" s="18" t="s">
        <v>792</v>
      </c>
      <c r="H92" s="18">
        <v>34</v>
      </c>
      <c r="I92" s="18">
        <v>270</v>
      </c>
      <c r="J92" s="18">
        <v>3100</v>
      </c>
      <c r="K92" s="18">
        <v>4200</v>
      </c>
      <c r="L92" s="18">
        <v>0</v>
      </c>
      <c r="M92" s="18">
        <v>0</v>
      </c>
      <c r="N92" s="18">
        <v>0</v>
      </c>
      <c r="O92" s="18">
        <v>45</v>
      </c>
      <c r="P92" s="18">
        <v>1590</v>
      </c>
      <c r="Q92" s="18">
        <f>#REF!/#REF!</f>
        <v>5.8888888888888893</v>
      </c>
      <c r="R92" s="18"/>
      <c r="S92" s="18"/>
      <c r="T92" s="18"/>
      <c r="U92" s="18"/>
      <c r="V92" s="18"/>
      <c r="W92" s="18"/>
      <c r="X92" s="18"/>
      <c r="Y92" s="18"/>
      <c r="Z92" s="18">
        <v>183</v>
      </c>
      <c r="AA92" s="18">
        <v>330</v>
      </c>
      <c r="AB92" s="18"/>
      <c r="AC92" s="18"/>
      <c r="AD92" s="18"/>
      <c r="AE92" s="18">
        <v>350</v>
      </c>
      <c r="AF92" s="18">
        <v>525</v>
      </c>
      <c r="AG92" s="18" t="s">
        <v>41</v>
      </c>
      <c r="AH92" s="18" t="s">
        <v>128</v>
      </c>
      <c r="AI92" s="18" t="s">
        <v>41</v>
      </c>
      <c r="AJ92" s="18">
        <v>1</v>
      </c>
      <c r="AK92" s="18" t="s">
        <v>1469</v>
      </c>
      <c r="AL92" s="19" t="s">
        <v>41</v>
      </c>
    </row>
    <row r="93" spans="1:38">
      <c r="A93" s="17" t="s">
        <v>539</v>
      </c>
      <c r="B93" s="18" t="s">
        <v>38</v>
      </c>
      <c r="C93" s="18">
        <v>1</v>
      </c>
      <c r="D93" s="18" t="s">
        <v>540</v>
      </c>
      <c r="E93" s="18" t="s">
        <v>541</v>
      </c>
      <c r="F93" s="18" t="s">
        <v>41</v>
      </c>
      <c r="G93" s="18" t="s">
        <v>542</v>
      </c>
      <c r="H93" s="18">
        <v>18</v>
      </c>
      <c r="I93" s="18">
        <v>57</v>
      </c>
      <c r="J93" s="18">
        <v>1100</v>
      </c>
      <c r="K93" s="18">
        <v>3520</v>
      </c>
      <c r="L93" s="18">
        <v>0</v>
      </c>
      <c r="M93" s="18">
        <v>0</v>
      </c>
      <c r="N93" s="18">
        <v>40</v>
      </c>
      <c r="O93" s="18">
        <v>75</v>
      </c>
      <c r="P93" s="18">
        <v>335</v>
      </c>
      <c r="Q93" s="18">
        <f>#REF!/#REF!</f>
        <v>5.8771929824561404</v>
      </c>
      <c r="R93" s="18"/>
      <c r="S93" s="18"/>
      <c r="T93" s="18"/>
      <c r="U93" s="18"/>
      <c r="V93" s="18"/>
      <c r="W93" s="18"/>
      <c r="X93" s="18"/>
      <c r="Y93" s="18"/>
      <c r="Z93" s="18">
        <v>0</v>
      </c>
      <c r="AA93" s="18">
        <v>0</v>
      </c>
      <c r="AB93" s="18">
        <v>64</v>
      </c>
      <c r="AC93" s="18"/>
      <c r="AD93" s="18"/>
      <c r="AE93" s="18">
        <v>450</v>
      </c>
      <c r="AF93" s="18">
        <v>675</v>
      </c>
      <c r="AG93" s="18" t="s">
        <v>239</v>
      </c>
      <c r="AH93" s="18" t="s">
        <v>41</v>
      </c>
      <c r="AI93" s="18" t="s">
        <v>543</v>
      </c>
      <c r="AJ93" s="18">
        <v>1</v>
      </c>
      <c r="AK93" s="18" t="s">
        <v>1402</v>
      </c>
      <c r="AL93" s="19" t="s">
        <v>41</v>
      </c>
    </row>
    <row r="94" spans="1:38">
      <c r="A94" s="17" t="s">
        <v>797</v>
      </c>
      <c r="B94" s="18" t="s">
        <v>38</v>
      </c>
      <c r="C94" s="18">
        <v>2</v>
      </c>
      <c r="D94" s="18" t="s">
        <v>798</v>
      </c>
      <c r="E94" s="18" t="s">
        <v>799</v>
      </c>
      <c r="F94" s="18" t="s">
        <v>41</v>
      </c>
      <c r="G94" s="18" t="s">
        <v>800</v>
      </c>
      <c r="H94" s="18">
        <v>36</v>
      </c>
      <c r="I94" s="18">
        <v>450</v>
      </c>
      <c r="J94" s="18">
        <v>9100</v>
      </c>
      <c r="K94" s="18">
        <v>9950</v>
      </c>
      <c r="L94" s="18">
        <v>0</v>
      </c>
      <c r="M94" s="18">
        <v>0</v>
      </c>
      <c r="N94" s="18">
        <v>0</v>
      </c>
      <c r="O94" s="18">
        <v>71</v>
      </c>
      <c r="P94" s="18">
        <v>2600</v>
      </c>
      <c r="Q94" s="18">
        <f>#REF!/#REF!</f>
        <v>5.7777777777777777</v>
      </c>
      <c r="R94" s="18"/>
      <c r="S94" s="18"/>
      <c r="T94" s="18"/>
      <c r="U94" s="18"/>
      <c r="V94" s="18"/>
      <c r="W94" s="18"/>
      <c r="X94" s="18"/>
      <c r="Y94" s="18"/>
      <c r="Z94" s="18">
        <v>273</v>
      </c>
      <c r="AA94" s="18">
        <v>775</v>
      </c>
      <c r="AB94" s="18"/>
      <c r="AC94" s="18"/>
      <c r="AD94" s="18"/>
      <c r="AE94" s="18">
        <v>390</v>
      </c>
      <c r="AF94" s="18">
        <v>900</v>
      </c>
      <c r="AG94" s="18" t="s">
        <v>41</v>
      </c>
      <c r="AH94" s="18" t="s">
        <v>124</v>
      </c>
      <c r="AI94" s="18" t="s">
        <v>41</v>
      </c>
      <c r="AJ94" s="18">
        <v>1</v>
      </c>
      <c r="AK94" s="18" t="s">
        <v>1471</v>
      </c>
      <c r="AL94" s="19" t="s">
        <v>41</v>
      </c>
    </row>
    <row r="95" spans="1:38">
      <c r="A95" s="17" t="s">
        <v>1128</v>
      </c>
      <c r="B95" s="18" t="s">
        <v>806</v>
      </c>
      <c r="C95" s="18">
        <v>2</v>
      </c>
      <c r="D95" s="18" t="s">
        <v>1129</v>
      </c>
      <c r="E95" s="18" t="s">
        <v>799</v>
      </c>
      <c r="F95" s="18" t="s">
        <v>41</v>
      </c>
      <c r="G95" s="18" t="s">
        <v>800</v>
      </c>
      <c r="H95" s="18">
        <v>37</v>
      </c>
      <c r="I95" s="18">
        <v>470</v>
      </c>
      <c r="J95" s="18">
        <v>10500</v>
      </c>
      <c r="K95" s="18">
        <v>12000</v>
      </c>
      <c r="L95" s="18">
        <v>0</v>
      </c>
      <c r="M95" s="18">
        <v>0</v>
      </c>
      <c r="N95" s="18">
        <v>0</v>
      </c>
      <c r="O95" s="18">
        <v>69</v>
      </c>
      <c r="P95" s="18">
        <v>2700</v>
      </c>
      <c r="Q95" s="18">
        <f>#REF!/#REF!</f>
        <v>5.7446808510638299</v>
      </c>
      <c r="R95" s="18"/>
      <c r="S95" s="18"/>
      <c r="T95" s="18"/>
      <c r="U95" s="18"/>
      <c r="V95" s="18"/>
      <c r="W95" s="18"/>
      <c r="X95" s="18"/>
      <c r="Y95" s="18"/>
      <c r="Z95" s="18">
        <v>273</v>
      </c>
      <c r="AA95" s="18">
        <v>775</v>
      </c>
      <c r="AB95" s="18"/>
      <c r="AC95" s="18"/>
      <c r="AD95" s="18"/>
      <c r="AE95" s="18">
        <v>338</v>
      </c>
      <c r="AF95" s="18">
        <v>900</v>
      </c>
      <c r="AG95" s="18" t="s">
        <v>41</v>
      </c>
      <c r="AH95" s="18" t="s">
        <v>124</v>
      </c>
      <c r="AI95" s="18" t="s">
        <v>41</v>
      </c>
      <c r="AJ95" s="18">
        <v>1</v>
      </c>
      <c r="AK95" s="18" t="s">
        <v>1624</v>
      </c>
      <c r="AL95" s="19" t="s">
        <v>41</v>
      </c>
    </row>
    <row r="96" spans="1:38">
      <c r="A96" s="17" t="s">
        <v>203</v>
      </c>
      <c r="B96" s="18" t="s">
        <v>38</v>
      </c>
      <c r="C96" s="18">
        <v>2</v>
      </c>
      <c r="D96" s="18" t="s">
        <v>204</v>
      </c>
      <c r="E96" s="18" t="s">
        <v>205</v>
      </c>
      <c r="F96" s="18" t="s">
        <v>41</v>
      </c>
      <c r="G96" s="18" t="s">
        <v>206</v>
      </c>
      <c r="H96" s="18">
        <v>13</v>
      </c>
      <c r="I96" s="18">
        <v>310</v>
      </c>
      <c r="J96" s="18">
        <v>6200</v>
      </c>
      <c r="K96" s="18">
        <v>13500</v>
      </c>
      <c r="L96" s="18">
        <v>0</v>
      </c>
      <c r="M96" s="18">
        <v>0</v>
      </c>
      <c r="N96" s="18">
        <v>0</v>
      </c>
      <c r="O96" s="18">
        <v>161</v>
      </c>
      <c r="P96" s="18">
        <v>1780</v>
      </c>
      <c r="Q96" s="18">
        <f>#REF!/#REF!</f>
        <v>5.741935483870968</v>
      </c>
      <c r="R96" s="18"/>
      <c r="S96" s="18"/>
      <c r="T96" s="18">
        <v>1</v>
      </c>
      <c r="U96" s="18"/>
      <c r="V96" s="18"/>
      <c r="W96" s="18"/>
      <c r="X96" s="18"/>
      <c r="Y96" s="18"/>
      <c r="Z96" s="18">
        <v>107</v>
      </c>
      <c r="AA96" s="18">
        <v>380</v>
      </c>
      <c r="AB96" s="18"/>
      <c r="AC96" s="18"/>
      <c r="AD96" s="18"/>
      <c r="AE96" s="18">
        <v>550</v>
      </c>
      <c r="AF96" s="18">
        <v>825</v>
      </c>
      <c r="AG96" s="18" t="s">
        <v>41</v>
      </c>
      <c r="AH96" s="18" t="s">
        <v>124</v>
      </c>
      <c r="AI96" s="18" t="s">
        <v>41</v>
      </c>
      <c r="AJ96" s="18">
        <v>1</v>
      </c>
      <c r="AK96" s="18" t="s">
        <v>1312</v>
      </c>
      <c r="AL96" s="19" t="s">
        <v>41</v>
      </c>
    </row>
    <row r="97" spans="1:38">
      <c r="A97" s="17" t="s">
        <v>1152</v>
      </c>
      <c r="B97" s="18" t="s">
        <v>806</v>
      </c>
      <c r="C97" s="18">
        <v>1</v>
      </c>
      <c r="D97" s="18" t="s">
        <v>1153</v>
      </c>
      <c r="E97" s="18" t="s">
        <v>122</v>
      </c>
      <c r="F97" s="18" t="s">
        <v>41</v>
      </c>
      <c r="G97" s="18" t="s">
        <v>123</v>
      </c>
      <c r="H97" s="18">
        <v>11</v>
      </c>
      <c r="I97" s="18">
        <v>300</v>
      </c>
      <c r="J97" s="18">
        <v>3100</v>
      </c>
      <c r="K97" s="18">
        <v>3500</v>
      </c>
      <c r="L97" s="18">
        <v>0</v>
      </c>
      <c r="M97" s="18">
        <v>0</v>
      </c>
      <c r="N97" s="18">
        <v>0</v>
      </c>
      <c r="O97" s="18">
        <v>67</v>
      </c>
      <c r="P97" s="18">
        <v>1720</v>
      </c>
      <c r="Q97" s="18">
        <f>#REF!/#REF!</f>
        <v>5.7333333333333334</v>
      </c>
      <c r="R97" s="18"/>
      <c r="S97" s="18"/>
      <c r="T97" s="18"/>
      <c r="U97" s="18">
        <v>1</v>
      </c>
      <c r="V97" s="18"/>
      <c r="W97" s="18"/>
      <c r="X97" s="18"/>
      <c r="Y97" s="18"/>
      <c r="Z97" s="18">
        <v>70</v>
      </c>
      <c r="AA97" s="18">
        <v>370</v>
      </c>
      <c r="AB97" s="18"/>
      <c r="AC97" s="18"/>
      <c r="AD97" s="18"/>
      <c r="AE97" s="18">
        <v>491</v>
      </c>
      <c r="AF97" s="18">
        <v>737</v>
      </c>
      <c r="AG97" s="18" t="s">
        <v>41</v>
      </c>
      <c r="AH97" s="18" t="s">
        <v>124</v>
      </c>
      <c r="AI97" s="18" t="s">
        <v>41</v>
      </c>
      <c r="AJ97" s="18">
        <v>1</v>
      </c>
      <c r="AK97" s="18" t="s">
        <v>1634</v>
      </c>
      <c r="AL97" s="19" t="s">
        <v>41</v>
      </c>
    </row>
    <row r="98" spans="1:38">
      <c r="A98" s="17" t="s">
        <v>995</v>
      </c>
      <c r="B98" s="18" t="s">
        <v>806</v>
      </c>
      <c r="C98" s="18">
        <v>1</v>
      </c>
      <c r="D98" s="18" t="s">
        <v>996</v>
      </c>
      <c r="E98" s="18" t="s">
        <v>427</v>
      </c>
      <c r="F98" s="18" t="s">
        <v>41</v>
      </c>
      <c r="G98" s="18" t="s">
        <v>428</v>
      </c>
      <c r="H98" s="18">
        <v>93</v>
      </c>
      <c r="I98" s="18">
        <v>480</v>
      </c>
      <c r="J98" s="18">
        <v>4700</v>
      </c>
      <c r="K98" s="18">
        <v>12650</v>
      </c>
      <c r="L98" s="18">
        <v>0</v>
      </c>
      <c r="M98" s="18">
        <v>0</v>
      </c>
      <c r="N98" s="18">
        <v>0</v>
      </c>
      <c r="O98" s="18">
        <v>0</v>
      </c>
      <c r="P98" s="18">
        <v>2750</v>
      </c>
      <c r="Q98" s="18">
        <f>#REF!/#REF!</f>
        <v>5.729166666666667</v>
      </c>
      <c r="R98" s="18"/>
      <c r="S98" s="18"/>
      <c r="T98" s="18"/>
      <c r="U98" s="18"/>
      <c r="V98" s="18"/>
      <c r="W98" s="18"/>
      <c r="X98" s="18"/>
      <c r="Y98" s="18">
        <v>1</v>
      </c>
      <c r="Z98" s="18">
        <v>218</v>
      </c>
      <c r="AA98" s="18">
        <v>620</v>
      </c>
      <c r="AB98" s="18"/>
      <c r="AC98" s="18"/>
      <c r="AD98" s="18"/>
      <c r="AE98" s="18">
        <v>455</v>
      </c>
      <c r="AF98" s="18">
        <v>683</v>
      </c>
      <c r="AG98" s="18" t="s">
        <v>41</v>
      </c>
      <c r="AH98" s="18" t="s">
        <v>128</v>
      </c>
      <c r="AI98" s="18" t="s">
        <v>41</v>
      </c>
      <c r="AJ98" s="18">
        <v>1</v>
      </c>
      <c r="AK98" s="18" t="s">
        <v>1559</v>
      </c>
      <c r="AL98" s="19" t="s">
        <v>41</v>
      </c>
    </row>
    <row r="99" spans="1:38">
      <c r="A99" s="17" t="s">
        <v>120</v>
      </c>
      <c r="B99" s="18" t="s">
        <v>38</v>
      </c>
      <c r="C99" s="18">
        <v>1</v>
      </c>
      <c r="D99" s="18" t="s">
        <v>121</v>
      </c>
      <c r="E99" s="18" t="s">
        <v>122</v>
      </c>
      <c r="F99" s="18" t="s">
        <v>41</v>
      </c>
      <c r="G99" s="18" t="s">
        <v>123</v>
      </c>
      <c r="H99" s="18">
        <v>24</v>
      </c>
      <c r="I99" s="18">
        <v>270</v>
      </c>
      <c r="J99" s="18">
        <v>2400</v>
      </c>
      <c r="K99" s="18">
        <v>3000</v>
      </c>
      <c r="L99" s="18">
        <v>0</v>
      </c>
      <c r="M99" s="18">
        <v>0</v>
      </c>
      <c r="N99" s="18">
        <v>0</v>
      </c>
      <c r="O99" s="18">
        <v>70</v>
      </c>
      <c r="P99" s="18">
        <v>1530</v>
      </c>
      <c r="Q99" s="18">
        <f>#REF!/#REF!</f>
        <v>5.666666666666667</v>
      </c>
      <c r="R99" s="18"/>
      <c r="S99" s="18"/>
      <c r="T99" s="18"/>
      <c r="U99" s="18">
        <v>1</v>
      </c>
      <c r="V99" s="18"/>
      <c r="W99" s="18"/>
      <c r="X99" s="18"/>
      <c r="Y99" s="18"/>
      <c r="Z99" s="18">
        <v>70</v>
      </c>
      <c r="AA99" s="18">
        <v>370</v>
      </c>
      <c r="AB99" s="18"/>
      <c r="AC99" s="18"/>
      <c r="AD99" s="18"/>
      <c r="AE99" s="18">
        <v>509</v>
      </c>
      <c r="AF99" s="18">
        <v>764</v>
      </c>
      <c r="AG99" s="18" t="s">
        <v>41</v>
      </c>
      <c r="AH99" s="18" t="s">
        <v>124</v>
      </c>
      <c r="AI99" s="18" t="s">
        <v>41</v>
      </c>
      <c r="AJ99" s="18">
        <v>1</v>
      </c>
      <c r="AK99" s="18" t="s">
        <v>1289</v>
      </c>
      <c r="AL99" s="19" t="s">
        <v>41</v>
      </c>
    </row>
    <row r="100" spans="1:38">
      <c r="A100" s="17" t="s">
        <v>588</v>
      </c>
      <c r="B100" s="18" t="s">
        <v>38</v>
      </c>
      <c r="C100" s="18">
        <v>1</v>
      </c>
      <c r="D100" s="18" t="s">
        <v>589</v>
      </c>
      <c r="E100" s="18" t="s">
        <v>590</v>
      </c>
      <c r="F100" s="18" t="s">
        <v>41</v>
      </c>
      <c r="G100" s="18" t="s">
        <v>591</v>
      </c>
      <c r="H100" s="18">
        <v>22</v>
      </c>
      <c r="I100" s="18">
        <v>380</v>
      </c>
      <c r="J100" s="18">
        <v>2550</v>
      </c>
      <c r="K100" s="18">
        <v>4250</v>
      </c>
      <c r="L100" s="18">
        <v>0</v>
      </c>
      <c r="M100" s="18">
        <v>0</v>
      </c>
      <c r="N100" s="18">
        <v>0</v>
      </c>
      <c r="O100" s="18">
        <v>81</v>
      </c>
      <c r="P100" s="18">
        <v>2150</v>
      </c>
      <c r="Q100" s="18">
        <f>#REF!/#REF!</f>
        <v>5.6578947368421053</v>
      </c>
      <c r="R100" s="18"/>
      <c r="S100" s="18"/>
      <c r="T100" s="18"/>
      <c r="U100" s="18"/>
      <c r="V100" s="18">
        <v>1</v>
      </c>
      <c r="W100" s="18"/>
      <c r="X100" s="18"/>
      <c r="Y100" s="18"/>
      <c r="Z100" s="18">
        <v>117</v>
      </c>
      <c r="AA100" s="18">
        <v>470</v>
      </c>
      <c r="AB100" s="18"/>
      <c r="AC100" s="18"/>
      <c r="AD100" s="18"/>
      <c r="AE100" s="18">
        <v>500</v>
      </c>
      <c r="AF100" s="18">
        <v>750</v>
      </c>
      <c r="AG100" s="18" t="s">
        <v>41</v>
      </c>
      <c r="AH100" s="18" t="s">
        <v>99</v>
      </c>
      <c r="AI100" s="18" t="s">
        <v>41</v>
      </c>
      <c r="AJ100" s="18">
        <v>1</v>
      </c>
      <c r="AK100" s="18" t="s">
        <v>1414</v>
      </c>
      <c r="AL100" s="19" t="s">
        <v>41</v>
      </c>
    </row>
    <row r="101" spans="1:38">
      <c r="A101" s="17" t="s">
        <v>1001</v>
      </c>
      <c r="B101" s="18" t="s">
        <v>806</v>
      </c>
      <c r="C101" s="18">
        <v>1</v>
      </c>
      <c r="D101" s="18" t="s">
        <v>1002</v>
      </c>
      <c r="E101" s="18" t="s">
        <v>659</v>
      </c>
      <c r="F101" s="18" t="s">
        <v>41</v>
      </c>
      <c r="G101" s="18" t="s">
        <v>660</v>
      </c>
      <c r="H101" s="18">
        <v>18</v>
      </c>
      <c r="I101" s="18">
        <v>130</v>
      </c>
      <c r="J101" s="18">
        <v>6900</v>
      </c>
      <c r="K101" s="18">
        <v>9500</v>
      </c>
      <c r="L101" s="18">
        <v>0</v>
      </c>
      <c r="M101" s="18">
        <v>0</v>
      </c>
      <c r="N101" s="18">
        <v>0</v>
      </c>
      <c r="O101" s="18">
        <v>324</v>
      </c>
      <c r="P101" s="18">
        <v>730</v>
      </c>
      <c r="Q101" s="18">
        <f>#REF!/#REF!</f>
        <v>5.615384615384615</v>
      </c>
      <c r="R101" s="18">
        <v>1</v>
      </c>
      <c r="S101" s="18"/>
      <c r="T101" s="18">
        <v>1</v>
      </c>
      <c r="U101" s="18"/>
      <c r="V101" s="18"/>
      <c r="W101" s="18"/>
      <c r="X101" s="18"/>
      <c r="Y101" s="18"/>
      <c r="Z101" s="18">
        <v>0</v>
      </c>
      <c r="AA101" s="18">
        <v>0</v>
      </c>
      <c r="AB101" s="18"/>
      <c r="AC101" s="18">
        <v>900</v>
      </c>
      <c r="AD101" s="18">
        <v>2200</v>
      </c>
      <c r="AE101" s="18">
        <v>1130</v>
      </c>
      <c r="AF101" s="18">
        <v>1695</v>
      </c>
      <c r="AG101" s="18" t="s">
        <v>48</v>
      </c>
      <c r="AH101" s="18" t="s">
        <v>41</v>
      </c>
      <c r="AI101" s="18" t="s">
        <v>41</v>
      </c>
      <c r="AJ101" s="18">
        <v>1</v>
      </c>
      <c r="AK101" s="18" t="s">
        <v>1562</v>
      </c>
      <c r="AL101" s="19" t="s">
        <v>41</v>
      </c>
    </row>
    <row r="102" spans="1:38">
      <c r="A102" s="17" t="s">
        <v>256</v>
      </c>
      <c r="B102" s="18" t="s">
        <v>38</v>
      </c>
      <c r="C102" s="18">
        <v>2</v>
      </c>
      <c r="D102" s="18" t="s">
        <v>257</v>
      </c>
      <c r="E102" s="18" t="s">
        <v>258</v>
      </c>
      <c r="F102" s="18" t="s">
        <v>41</v>
      </c>
      <c r="G102" s="18" t="s">
        <v>259</v>
      </c>
      <c r="H102" s="18">
        <v>35</v>
      </c>
      <c r="I102" s="18">
        <v>1000</v>
      </c>
      <c r="J102" s="18">
        <v>12000</v>
      </c>
      <c r="K102" s="18">
        <v>17000</v>
      </c>
      <c r="L102" s="18">
        <v>0</v>
      </c>
      <c r="M102" s="18">
        <v>0</v>
      </c>
      <c r="N102" s="18">
        <v>0</v>
      </c>
      <c r="O102" s="18">
        <v>60</v>
      </c>
      <c r="P102" s="18">
        <v>5600</v>
      </c>
      <c r="Q102" s="18">
        <f>#REF!/#REF!</f>
        <v>5.6</v>
      </c>
      <c r="R102" s="18"/>
      <c r="S102" s="18"/>
      <c r="T102" s="18"/>
      <c r="U102" s="18"/>
      <c r="V102" s="18">
        <v>1</v>
      </c>
      <c r="W102" s="18"/>
      <c r="X102" s="18"/>
      <c r="Y102" s="18"/>
      <c r="Z102" s="18">
        <v>482</v>
      </c>
      <c r="AA102" s="18">
        <v>500</v>
      </c>
      <c r="AB102" s="18"/>
      <c r="AC102" s="18">
        <v>375</v>
      </c>
      <c r="AD102" s="18"/>
      <c r="AE102" s="18">
        <v>600</v>
      </c>
      <c r="AF102" s="18">
        <v>900</v>
      </c>
      <c r="AG102" s="18" t="s">
        <v>41</v>
      </c>
      <c r="AH102" s="18" t="s">
        <v>260</v>
      </c>
      <c r="AI102" s="18" t="s">
        <v>41</v>
      </c>
      <c r="AJ102" s="18">
        <v>1</v>
      </c>
      <c r="AK102" s="18" t="s">
        <v>1323</v>
      </c>
      <c r="AL102" s="19" t="s">
        <v>41</v>
      </c>
    </row>
    <row r="103" spans="1:38">
      <c r="A103" s="17" t="s">
        <v>1086</v>
      </c>
      <c r="B103" s="18" t="s">
        <v>806</v>
      </c>
      <c r="C103" s="18">
        <v>1</v>
      </c>
      <c r="D103" s="18" t="s">
        <v>1087</v>
      </c>
      <c r="E103" s="18" t="s">
        <v>590</v>
      </c>
      <c r="F103" s="18" t="s">
        <v>41</v>
      </c>
      <c r="G103" s="18" t="s">
        <v>591</v>
      </c>
      <c r="H103" s="18">
        <v>26</v>
      </c>
      <c r="I103" s="18">
        <v>420</v>
      </c>
      <c r="J103" s="18">
        <v>2800</v>
      </c>
      <c r="K103" s="18">
        <v>4550</v>
      </c>
      <c r="L103" s="18">
        <v>0</v>
      </c>
      <c r="M103" s="18">
        <v>0</v>
      </c>
      <c r="N103" s="18">
        <v>0</v>
      </c>
      <c r="O103" s="18">
        <v>83</v>
      </c>
      <c r="P103" s="18">
        <v>2350</v>
      </c>
      <c r="Q103" s="18">
        <f>#REF!/#REF!</f>
        <v>5.5952380952380949</v>
      </c>
      <c r="R103" s="18"/>
      <c r="S103" s="18"/>
      <c r="T103" s="18"/>
      <c r="U103" s="18"/>
      <c r="V103" s="18">
        <v>1</v>
      </c>
      <c r="W103" s="18"/>
      <c r="X103" s="18"/>
      <c r="Y103" s="18"/>
      <c r="Z103" s="18">
        <v>120</v>
      </c>
      <c r="AA103" s="18">
        <v>480</v>
      </c>
      <c r="AB103" s="18"/>
      <c r="AC103" s="18"/>
      <c r="AD103" s="18"/>
      <c r="AE103" s="18">
        <v>500</v>
      </c>
      <c r="AF103" s="18">
        <v>750</v>
      </c>
      <c r="AG103" s="18" t="s">
        <v>41</v>
      </c>
      <c r="AH103" s="18" t="s">
        <v>124</v>
      </c>
      <c r="AI103" s="18" t="s">
        <v>41</v>
      </c>
      <c r="AJ103" s="18">
        <v>1</v>
      </c>
      <c r="AK103" s="18" t="s">
        <v>1606</v>
      </c>
      <c r="AL103" s="19" t="s">
        <v>41</v>
      </c>
    </row>
    <row r="104" spans="1:38">
      <c r="A104" s="17" t="s">
        <v>945</v>
      </c>
      <c r="B104" s="18" t="s">
        <v>806</v>
      </c>
      <c r="C104" s="18">
        <v>2</v>
      </c>
      <c r="D104" s="18" t="s">
        <v>946</v>
      </c>
      <c r="E104" s="18" t="s">
        <v>947</v>
      </c>
      <c r="F104" s="18" t="s">
        <v>41</v>
      </c>
      <c r="G104" s="18" t="s">
        <v>918</v>
      </c>
      <c r="H104" s="18">
        <v>80</v>
      </c>
      <c r="I104" s="18">
        <v>1200</v>
      </c>
      <c r="J104" s="18">
        <v>15000</v>
      </c>
      <c r="K104" s="18">
        <v>24000</v>
      </c>
      <c r="L104" s="18">
        <v>0</v>
      </c>
      <c r="M104" s="18">
        <v>0</v>
      </c>
      <c r="N104" s="18">
        <v>0</v>
      </c>
      <c r="O104" s="18">
        <v>0</v>
      </c>
      <c r="P104" s="18">
        <v>6700</v>
      </c>
      <c r="Q104" s="18">
        <f>#REF!/#REF!</f>
        <v>5.583333333333333</v>
      </c>
      <c r="R104" s="18"/>
      <c r="S104" s="18"/>
      <c r="T104" s="18"/>
      <c r="U104" s="18"/>
      <c r="V104" s="18"/>
      <c r="W104" s="18"/>
      <c r="X104" s="18"/>
      <c r="Y104" s="18">
        <v>1</v>
      </c>
      <c r="Z104" s="18">
        <v>731</v>
      </c>
      <c r="AA104" s="18">
        <v>900</v>
      </c>
      <c r="AB104" s="18"/>
      <c r="AC104" s="18"/>
      <c r="AD104" s="18"/>
      <c r="AE104" s="18">
        <v>780</v>
      </c>
      <c r="AF104" s="18">
        <v>1170</v>
      </c>
      <c r="AG104" s="18" t="s">
        <v>41</v>
      </c>
      <c r="AH104" s="18" t="s">
        <v>948</v>
      </c>
      <c r="AI104" s="18" t="s">
        <v>41</v>
      </c>
      <c r="AJ104" s="18">
        <v>1</v>
      </c>
      <c r="AK104" s="18" t="s">
        <v>1535</v>
      </c>
      <c r="AL104" s="19" t="s">
        <v>41</v>
      </c>
    </row>
    <row r="105" spans="1:38">
      <c r="A105" s="17" t="s">
        <v>331</v>
      </c>
      <c r="B105" s="18" t="s">
        <v>38</v>
      </c>
      <c r="C105" s="18">
        <v>2</v>
      </c>
      <c r="D105" s="18" t="s">
        <v>332</v>
      </c>
      <c r="E105" s="18" t="s">
        <v>333</v>
      </c>
      <c r="F105" s="18" t="s">
        <v>41</v>
      </c>
      <c r="G105" s="18" t="s">
        <v>334</v>
      </c>
      <c r="H105" s="18">
        <v>47</v>
      </c>
      <c r="I105" s="18">
        <v>1400</v>
      </c>
      <c r="J105" s="18">
        <v>11000</v>
      </c>
      <c r="K105" s="18">
        <v>21000</v>
      </c>
      <c r="L105" s="18">
        <v>0</v>
      </c>
      <c r="M105" s="18">
        <v>0</v>
      </c>
      <c r="N105" s="18">
        <v>0</v>
      </c>
      <c r="O105" s="18">
        <v>30</v>
      </c>
      <c r="P105" s="18">
        <v>7800</v>
      </c>
      <c r="Q105" s="18">
        <f>#REF!/#REF!</f>
        <v>5.5714285714285712</v>
      </c>
      <c r="R105" s="18"/>
      <c r="S105" s="18"/>
      <c r="T105" s="18"/>
      <c r="U105" s="18"/>
      <c r="V105" s="18"/>
      <c r="W105" s="18"/>
      <c r="X105" s="18"/>
      <c r="Y105" s="18"/>
      <c r="Z105" s="18">
        <v>119</v>
      </c>
      <c r="AA105" s="18">
        <v>700</v>
      </c>
      <c r="AB105" s="18"/>
      <c r="AC105" s="18"/>
      <c r="AD105" s="18"/>
      <c r="AE105" s="18">
        <v>510</v>
      </c>
      <c r="AF105" s="18">
        <v>765</v>
      </c>
      <c r="AG105" s="18" t="s">
        <v>41</v>
      </c>
      <c r="AH105" s="18" t="s">
        <v>124</v>
      </c>
      <c r="AI105" s="18" t="s">
        <v>41</v>
      </c>
      <c r="AJ105" s="18">
        <v>1</v>
      </c>
      <c r="AK105" s="18" t="s">
        <v>1342</v>
      </c>
      <c r="AL105" s="19" t="s">
        <v>41</v>
      </c>
    </row>
    <row r="106" spans="1:38">
      <c r="A106" s="17" t="s">
        <v>924</v>
      </c>
      <c r="B106" s="18" t="s">
        <v>806</v>
      </c>
      <c r="C106" s="18">
        <v>1</v>
      </c>
      <c r="D106" s="18" t="s">
        <v>925</v>
      </c>
      <c r="E106" s="18" t="s">
        <v>225</v>
      </c>
      <c r="F106" s="18" t="s">
        <v>41</v>
      </c>
      <c r="G106" s="18" t="s">
        <v>226</v>
      </c>
      <c r="H106" s="18">
        <v>40</v>
      </c>
      <c r="I106" s="18">
        <v>800</v>
      </c>
      <c r="J106" s="18">
        <v>7900</v>
      </c>
      <c r="K106" s="18">
        <v>12000</v>
      </c>
      <c r="L106" s="18">
        <v>0</v>
      </c>
      <c r="M106" s="18">
        <v>0</v>
      </c>
      <c r="N106" s="18">
        <v>0</v>
      </c>
      <c r="O106" s="18">
        <v>0</v>
      </c>
      <c r="P106" s="18">
        <v>4450</v>
      </c>
      <c r="Q106" s="18">
        <f>#REF!/#REF!</f>
        <v>5.5625</v>
      </c>
      <c r="R106" s="18"/>
      <c r="S106" s="18"/>
      <c r="T106" s="18"/>
      <c r="U106" s="18"/>
      <c r="V106" s="18"/>
      <c r="W106" s="18"/>
      <c r="X106" s="18"/>
      <c r="Y106" s="18">
        <v>1</v>
      </c>
      <c r="Z106" s="18">
        <v>625</v>
      </c>
      <c r="AA106" s="18">
        <v>1125</v>
      </c>
      <c r="AB106" s="18"/>
      <c r="AC106" s="18"/>
      <c r="AD106" s="18"/>
      <c r="AE106" s="18">
        <v>380</v>
      </c>
      <c r="AF106" s="18">
        <v>1060</v>
      </c>
      <c r="AG106" s="18" t="s">
        <v>41</v>
      </c>
      <c r="AH106" s="18" t="s">
        <v>88</v>
      </c>
      <c r="AI106" s="18" t="s">
        <v>41</v>
      </c>
      <c r="AJ106" s="18">
        <v>1</v>
      </c>
      <c r="AK106" s="18" t="s">
        <v>1525</v>
      </c>
      <c r="AL106" s="19" t="s">
        <v>41</v>
      </c>
    </row>
    <row r="107" spans="1:38">
      <c r="A107" s="17" t="s">
        <v>1045</v>
      </c>
      <c r="B107" s="18" t="s">
        <v>806</v>
      </c>
      <c r="C107" s="18">
        <v>1</v>
      </c>
      <c r="D107" s="18" t="s">
        <v>1046</v>
      </c>
      <c r="E107" s="18" t="s">
        <v>1047</v>
      </c>
      <c r="F107" s="18" t="s">
        <v>41</v>
      </c>
      <c r="G107" s="18" t="s">
        <v>238</v>
      </c>
      <c r="H107" s="18">
        <v>10</v>
      </c>
      <c r="I107" s="18">
        <v>290</v>
      </c>
      <c r="J107" s="18">
        <v>1550</v>
      </c>
      <c r="K107" s="18">
        <v>4420</v>
      </c>
      <c r="L107" s="18">
        <v>0</v>
      </c>
      <c r="M107" s="18">
        <v>0</v>
      </c>
      <c r="N107" s="18">
        <v>0</v>
      </c>
      <c r="O107" s="18">
        <v>0</v>
      </c>
      <c r="P107" s="18">
        <v>1610</v>
      </c>
      <c r="Q107" s="18">
        <f>#REF!/#REF!</f>
        <v>5.5517241379310347</v>
      </c>
      <c r="R107" s="18"/>
      <c r="S107" s="18"/>
      <c r="T107" s="18"/>
      <c r="U107" s="18"/>
      <c r="V107" s="18"/>
      <c r="W107" s="18"/>
      <c r="X107" s="18"/>
      <c r="Y107" s="18">
        <v>1</v>
      </c>
      <c r="Z107" s="18">
        <v>320</v>
      </c>
      <c r="AA107" s="18">
        <v>410</v>
      </c>
      <c r="AB107" s="18">
        <v>8</v>
      </c>
      <c r="AC107" s="18"/>
      <c r="AD107" s="18"/>
      <c r="AE107" s="18">
        <v>422</v>
      </c>
      <c r="AF107" s="18">
        <v>633</v>
      </c>
      <c r="AG107" s="18" t="s">
        <v>239</v>
      </c>
      <c r="AH107" s="18" t="s">
        <v>962</v>
      </c>
      <c r="AI107" s="18" t="s">
        <v>41</v>
      </c>
      <c r="AJ107" s="18">
        <v>1</v>
      </c>
      <c r="AK107" s="18" t="s">
        <v>1583</v>
      </c>
      <c r="AL107" s="19" t="s">
        <v>41</v>
      </c>
    </row>
    <row r="108" spans="1:38">
      <c r="A108" s="17" t="s">
        <v>1057</v>
      </c>
      <c r="B108" s="18" t="s">
        <v>806</v>
      </c>
      <c r="C108" s="18">
        <v>1</v>
      </c>
      <c r="D108" s="18" t="s">
        <v>1058</v>
      </c>
      <c r="E108" s="18" t="s">
        <v>634</v>
      </c>
      <c r="F108" s="18" t="s">
        <v>41</v>
      </c>
      <c r="G108" s="18" t="s">
        <v>635</v>
      </c>
      <c r="H108" s="18">
        <v>25</v>
      </c>
      <c r="I108" s="18">
        <v>155</v>
      </c>
      <c r="J108" s="18">
        <v>2400</v>
      </c>
      <c r="K108" s="18">
        <v>3440</v>
      </c>
      <c r="L108" s="18">
        <v>0</v>
      </c>
      <c r="M108" s="18">
        <v>0</v>
      </c>
      <c r="N108" s="18">
        <v>0</v>
      </c>
      <c r="O108" s="18">
        <v>52</v>
      </c>
      <c r="P108" s="18">
        <v>860</v>
      </c>
      <c r="Q108" s="18">
        <f>#REF!/#REF!</f>
        <v>5.5483870967741939</v>
      </c>
      <c r="R108" s="18"/>
      <c r="S108" s="18"/>
      <c r="T108" s="18"/>
      <c r="U108" s="18"/>
      <c r="V108" s="18"/>
      <c r="W108" s="18"/>
      <c r="X108" s="18"/>
      <c r="Y108" s="18"/>
      <c r="Z108" s="18">
        <v>73</v>
      </c>
      <c r="AA108" s="18">
        <v>700</v>
      </c>
      <c r="AB108" s="18"/>
      <c r="AC108" s="18"/>
      <c r="AD108" s="18"/>
      <c r="AE108" s="18">
        <v>620</v>
      </c>
      <c r="AF108" s="18">
        <v>900</v>
      </c>
      <c r="AG108" s="18" t="s">
        <v>41</v>
      </c>
      <c r="AH108" s="18" t="s">
        <v>443</v>
      </c>
      <c r="AI108" s="18" t="s">
        <v>41</v>
      </c>
      <c r="AJ108" s="18">
        <v>1</v>
      </c>
      <c r="AK108" s="18" t="s">
        <v>1590</v>
      </c>
      <c r="AL108" s="19" t="s">
        <v>41</v>
      </c>
    </row>
    <row r="109" spans="1:38">
      <c r="A109" s="17" t="s">
        <v>273</v>
      </c>
      <c r="B109" s="18" t="s">
        <v>38</v>
      </c>
      <c r="C109" s="18">
        <v>1</v>
      </c>
      <c r="D109" s="18" t="s">
        <v>274</v>
      </c>
      <c r="E109" s="18" t="s">
        <v>275</v>
      </c>
      <c r="F109" s="18" t="s">
        <v>41</v>
      </c>
      <c r="G109" s="18" t="s">
        <v>276</v>
      </c>
      <c r="H109" s="18">
        <v>14</v>
      </c>
      <c r="I109" s="18">
        <v>175</v>
      </c>
      <c r="J109" s="18">
        <v>1500</v>
      </c>
      <c r="K109" s="18">
        <v>2450</v>
      </c>
      <c r="L109" s="18">
        <v>0</v>
      </c>
      <c r="M109" s="18">
        <v>0</v>
      </c>
      <c r="N109" s="18">
        <v>0</v>
      </c>
      <c r="O109" s="18">
        <v>105</v>
      </c>
      <c r="P109" s="18">
        <v>970</v>
      </c>
      <c r="Q109" s="18">
        <f>#REF!/#REF!</f>
        <v>5.5428571428571427</v>
      </c>
      <c r="R109" s="18"/>
      <c r="S109" s="18"/>
      <c r="T109" s="18"/>
      <c r="U109" s="18"/>
      <c r="V109" s="18">
        <v>1</v>
      </c>
      <c r="W109" s="18"/>
      <c r="X109" s="18"/>
      <c r="Y109" s="18"/>
      <c r="Z109" s="18">
        <v>135</v>
      </c>
      <c r="AA109" s="18">
        <v>280</v>
      </c>
      <c r="AB109" s="18"/>
      <c r="AC109" s="18"/>
      <c r="AD109" s="18"/>
      <c r="AE109" s="18">
        <v>375</v>
      </c>
      <c r="AF109" s="18">
        <v>563</v>
      </c>
      <c r="AG109" s="18" t="s">
        <v>41</v>
      </c>
      <c r="AH109" s="18" t="s">
        <v>99</v>
      </c>
      <c r="AI109" s="18" t="s">
        <v>41</v>
      </c>
      <c r="AJ109" s="18">
        <v>1</v>
      </c>
      <c r="AK109" s="18" t="s">
        <v>1327</v>
      </c>
      <c r="AL109" s="19" t="s">
        <v>41</v>
      </c>
    </row>
    <row r="110" spans="1:38">
      <c r="A110" s="17" t="s">
        <v>930</v>
      </c>
      <c r="B110" s="18" t="s">
        <v>806</v>
      </c>
      <c r="C110" s="18">
        <v>2</v>
      </c>
      <c r="D110" s="18" t="s">
        <v>931</v>
      </c>
      <c r="E110" s="18" t="s">
        <v>433</v>
      </c>
      <c r="F110" s="18" t="s">
        <v>41</v>
      </c>
      <c r="G110" s="18" t="s">
        <v>434</v>
      </c>
      <c r="H110" s="18">
        <v>47</v>
      </c>
      <c r="I110" s="18">
        <v>105</v>
      </c>
      <c r="J110" s="18">
        <v>1900</v>
      </c>
      <c r="K110" s="18">
        <v>6400</v>
      </c>
      <c r="L110" s="18">
        <v>0</v>
      </c>
      <c r="M110" s="18">
        <v>0</v>
      </c>
      <c r="N110" s="18">
        <v>0</v>
      </c>
      <c r="O110" s="18">
        <v>41</v>
      </c>
      <c r="P110" s="18">
        <v>580</v>
      </c>
      <c r="Q110" s="18">
        <f>#REF!/#REF!</f>
        <v>5.5238095238095237</v>
      </c>
      <c r="R110" s="18"/>
      <c r="S110" s="18"/>
      <c r="T110" s="18"/>
      <c r="U110" s="18"/>
      <c r="V110" s="18"/>
      <c r="W110" s="18"/>
      <c r="X110" s="18"/>
      <c r="Y110" s="18"/>
      <c r="Z110" s="18">
        <v>0</v>
      </c>
      <c r="AA110" s="18">
        <v>0</v>
      </c>
      <c r="AB110" s="18">
        <v>450</v>
      </c>
      <c r="AC110" s="18"/>
      <c r="AD110" s="18"/>
      <c r="AE110" s="18">
        <v>299</v>
      </c>
      <c r="AF110" s="18">
        <v>449</v>
      </c>
      <c r="AG110" s="18" t="s">
        <v>148</v>
      </c>
      <c r="AH110" s="18" t="s">
        <v>41</v>
      </c>
      <c r="AI110" s="18" t="s">
        <v>41</v>
      </c>
      <c r="AJ110" s="18">
        <v>1</v>
      </c>
      <c r="AK110" s="18" t="s">
        <v>1528</v>
      </c>
      <c r="AL110" s="19" t="s">
        <v>41</v>
      </c>
    </row>
    <row r="111" spans="1:38">
      <c r="A111" s="17" t="s">
        <v>850</v>
      </c>
      <c r="B111" s="18" t="s">
        <v>806</v>
      </c>
      <c r="C111" s="18">
        <v>2</v>
      </c>
      <c r="D111" s="18" t="s">
        <v>851</v>
      </c>
      <c r="E111" s="18" t="s">
        <v>180</v>
      </c>
      <c r="F111" s="18" t="s">
        <v>41</v>
      </c>
      <c r="G111" s="18" t="s">
        <v>181</v>
      </c>
      <c r="H111" s="18">
        <v>9</v>
      </c>
      <c r="I111" s="18">
        <v>180</v>
      </c>
      <c r="J111" s="18">
        <v>8300</v>
      </c>
      <c r="K111" s="18">
        <v>13300</v>
      </c>
      <c r="L111" s="18">
        <v>0</v>
      </c>
      <c r="M111" s="18">
        <v>0</v>
      </c>
      <c r="N111" s="18">
        <v>0</v>
      </c>
      <c r="O111" s="18">
        <v>321</v>
      </c>
      <c r="P111" s="18">
        <v>990</v>
      </c>
      <c r="Q111" s="18">
        <f>#REF!/#REF!</f>
        <v>5.5</v>
      </c>
      <c r="R111" s="18"/>
      <c r="S111" s="18"/>
      <c r="T111" s="18">
        <v>1</v>
      </c>
      <c r="U111" s="18"/>
      <c r="V111" s="18"/>
      <c r="W111" s="18"/>
      <c r="X111" s="18"/>
      <c r="Y111" s="18"/>
      <c r="Z111" s="18">
        <v>0</v>
      </c>
      <c r="AA111" s="18">
        <v>0</v>
      </c>
      <c r="AB111" s="18"/>
      <c r="AC111" s="18">
        <v>1200</v>
      </c>
      <c r="AD111" s="18">
        <v>2400</v>
      </c>
      <c r="AE111" s="18">
        <v>1250</v>
      </c>
      <c r="AF111" s="18">
        <v>1875</v>
      </c>
      <c r="AG111" s="18" t="s">
        <v>48</v>
      </c>
      <c r="AH111" s="18" t="s">
        <v>41</v>
      </c>
      <c r="AI111" s="18" t="s">
        <v>41</v>
      </c>
      <c r="AJ111" s="18">
        <v>1</v>
      </c>
      <c r="AK111" s="18" t="s">
        <v>1500</v>
      </c>
      <c r="AL111" s="19" t="s">
        <v>41</v>
      </c>
    </row>
    <row r="112" spans="1:38">
      <c r="A112" s="17" t="s">
        <v>883</v>
      </c>
      <c r="B112" s="18" t="s">
        <v>806</v>
      </c>
      <c r="C112" s="18">
        <v>1</v>
      </c>
      <c r="D112" s="18" t="s">
        <v>228</v>
      </c>
      <c r="E112" s="18" t="s">
        <v>216</v>
      </c>
      <c r="F112" s="18" t="s">
        <v>41</v>
      </c>
      <c r="G112" s="18" t="s">
        <v>229</v>
      </c>
      <c r="H112" s="18">
        <v>31</v>
      </c>
      <c r="I112" s="18">
        <v>120</v>
      </c>
      <c r="J112" s="18">
        <v>1750</v>
      </c>
      <c r="K112" s="18">
        <v>3550</v>
      </c>
      <c r="L112" s="18">
        <v>0</v>
      </c>
      <c r="M112" s="18">
        <v>7</v>
      </c>
      <c r="N112" s="18">
        <v>80</v>
      </c>
      <c r="O112" s="18">
        <v>35</v>
      </c>
      <c r="P112" s="18">
        <v>660</v>
      </c>
      <c r="Q112" s="18">
        <f>#REF!/#REF!</f>
        <v>5.5</v>
      </c>
      <c r="R112" s="18"/>
      <c r="S112" s="18"/>
      <c r="T112" s="18"/>
      <c r="U112" s="18"/>
      <c r="V112" s="18"/>
      <c r="W112" s="18"/>
      <c r="X112" s="18"/>
      <c r="Y112" s="18"/>
      <c r="Z112" s="18">
        <v>0</v>
      </c>
      <c r="AA112" s="18">
        <v>0</v>
      </c>
      <c r="AB112" s="18"/>
      <c r="AC112" s="18"/>
      <c r="AD112" s="18"/>
      <c r="AE112" s="18">
        <v>299</v>
      </c>
      <c r="AF112" s="18">
        <v>449</v>
      </c>
      <c r="AG112" s="18" t="s">
        <v>41</v>
      </c>
      <c r="AH112" s="18" t="s">
        <v>41</v>
      </c>
      <c r="AI112" s="18" t="s">
        <v>884</v>
      </c>
      <c r="AJ112" s="18">
        <v>1</v>
      </c>
      <c r="AK112" s="18" t="s">
        <v>1511</v>
      </c>
      <c r="AL112" s="19" t="s">
        <v>41</v>
      </c>
    </row>
    <row r="113" spans="1:38">
      <c r="A113" s="17" t="s">
        <v>632</v>
      </c>
      <c r="B113" s="18" t="s">
        <v>38</v>
      </c>
      <c r="C113" s="18">
        <v>1</v>
      </c>
      <c r="D113" s="18" t="s">
        <v>633</v>
      </c>
      <c r="E113" s="18" t="s">
        <v>634</v>
      </c>
      <c r="F113" s="18" t="s">
        <v>41</v>
      </c>
      <c r="G113" s="18" t="s">
        <v>635</v>
      </c>
      <c r="H113" s="18">
        <v>18</v>
      </c>
      <c r="I113" s="18">
        <v>150</v>
      </c>
      <c r="J113" s="18">
        <v>2100</v>
      </c>
      <c r="K113" s="18">
        <v>3420</v>
      </c>
      <c r="L113" s="18">
        <v>0</v>
      </c>
      <c r="M113" s="18">
        <v>0</v>
      </c>
      <c r="N113" s="18">
        <v>0</v>
      </c>
      <c r="O113" s="18">
        <v>55</v>
      </c>
      <c r="P113" s="18">
        <v>820</v>
      </c>
      <c r="Q113" s="18">
        <f>#REF!/#REF!</f>
        <v>5.4666666666666668</v>
      </c>
      <c r="R113" s="18"/>
      <c r="S113" s="18"/>
      <c r="T113" s="18"/>
      <c r="U113" s="18"/>
      <c r="V113" s="18"/>
      <c r="W113" s="18"/>
      <c r="X113" s="18"/>
      <c r="Y113" s="18"/>
      <c r="Z113" s="18">
        <v>74</v>
      </c>
      <c r="AA113" s="18">
        <v>700</v>
      </c>
      <c r="AB113" s="18"/>
      <c r="AC113" s="18"/>
      <c r="AD113" s="18"/>
      <c r="AE113" s="18">
        <v>620</v>
      </c>
      <c r="AF113" s="18">
        <v>900</v>
      </c>
      <c r="AG113" s="18" t="s">
        <v>41</v>
      </c>
      <c r="AH113" s="18" t="s">
        <v>443</v>
      </c>
      <c r="AI113" s="18" t="s">
        <v>41</v>
      </c>
      <c r="AJ113" s="18">
        <v>1</v>
      </c>
      <c r="AK113" s="18" t="s">
        <v>1425</v>
      </c>
      <c r="AL113" s="19" t="s">
        <v>41</v>
      </c>
    </row>
    <row r="114" spans="1:38">
      <c r="A114" s="17" t="s">
        <v>227</v>
      </c>
      <c r="B114" s="18" t="s">
        <v>38</v>
      </c>
      <c r="C114" s="18">
        <v>1</v>
      </c>
      <c r="D114" s="18" t="s">
        <v>228</v>
      </c>
      <c r="E114" s="18" t="s">
        <v>216</v>
      </c>
      <c r="F114" s="18" t="s">
        <v>41</v>
      </c>
      <c r="G114" s="18" t="s">
        <v>229</v>
      </c>
      <c r="H114" s="18">
        <v>26</v>
      </c>
      <c r="I114" s="18">
        <v>110</v>
      </c>
      <c r="J114" s="18">
        <v>1600</v>
      </c>
      <c r="K114" s="18">
        <v>3450</v>
      </c>
      <c r="L114" s="18">
        <v>0</v>
      </c>
      <c r="M114" s="18">
        <v>7</v>
      </c>
      <c r="N114" s="18">
        <v>80</v>
      </c>
      <c r="O114" s="18">
        <v>36</v>
      </c>
      <c r="P114" s="18">
        <v>600</v>
      </c>
      <c r="Q114" s="18">
        <f>#REF!/#REF!</f>
        <v>5.4545454545454541</v>
      </c>
      <c r="R114" s="18"/>
      <c r="S114" s="18"/>
      <c r="T114" s="18"/>
      <c r="U114" s="18"/>
      <c r="V114" s="18"/>
      <c r="W114" s="18"/>
      <c r="X114" s="18"/>
      <c r="Y114" s="18"/>
      <c r="Z114" s="18">
        <v>0</v>
      </c>
      <c r="AA114" s="18">
        <v>0</v>
      </c>
      <c r="AB114" s="18"/>
      <c r="AC114" s="18"/>
      <c r="AD114" s="18"/>
      <c r="AE114" s="18">
        <v>305</v>
      </c>
      <c r="AF114" s="18">
        <v>458</v>
      </c>
      <c r="AG114" s="18" t="s">
        <v>41</v>
      </c>
      <c r="AH114" s="18" t="s">
        <v>41</v>
      </c>
      <c r="AI114" s="18" t="s">
        <v>230</v>
      </c>
      <c r="AJ114" s="18">
        <v>1</v>
      </c>
      <c r="AK114" s="18" t="s">
        <v>1318</v>
      </c>
      <c r="AL114" s="19" t="s">
        <v>41</v>
      </c>
    </row>
    <row r="115" spans="1:38">
      <c r="A115" s="17" t="s">
        <v>901</v>
      </c>
      <c r="B115" s="18" t="s">
        <v>806</v>
      </c>
      <c r="C115" s="18">
        <v>1</v>
      </c>
      <c r="D115" s="18" t="s">
        <v>262</v>
      </c>
      <c r="E115" s="18" t="s">
        <v>216</v>
      </c>
      <c r="F115" s="18" t="s">
        <v>41</v>
      </c>
      <c r="G115" s="18" t="s">
        <v>263</v>
      </c>
      <c r="H115" s="18">
        <v>14</v>
      </c>
      <c r="I115" s="18">
        <v>200</v>
      </c>
      <c r="J115" s="18">
        <v>2000</v>
      </c>
      <c r="K115" s="18">
        <v>3700</v>
      </c>
      <c r="L115" s="18">
        <v>0</v>
      </c>
      <c r="M115" s="18">
        <v>7</v>
      </c>
      <c r="N115" s="18">
        <v>125</v>
      </c>
      <c r="O115" s="18">
        <v>60</v>
      </c>
      <c r="P115" s="18">
        <v>1080</v>
      </c>
      <c r="Q115" s="18">
        <f>#REF!/#REF!</f>
        <v>5.4</v>
      </c>
      <c r="R115" s="18"/>
      <c r="S115" s="18"/>
      <c r="T115" s="18"/>
      <c r="U115" s="18"/>
      <c r="V115" s="18">
        <v>1</v>
      </c>
      <c r="W115" s="18"/>
      <c r="X115" s="18"/>
      <c r="Y115" s="18"/>
      <c r="Z115" s="18">
        <v>0</v>
      </c>
      <c r="AA115" s="18">
        <v>0</v>
      </c>
      <c r="AB115" s="18"/>
      <c r="AC115" s="18"/>
      <c r="AD115" s="18"/>
      <c r="AE115" s="18">
        <v>400</v>
      </c>
      <c r="AF115" s="18">
        <v>600</v>
      </c>
      <c r="AG115" s="18" t="s">
        <v>41</v>
      </c>
      <c r="AH115" s="18" t="s">
        <v>41</v>
      </c>
      <c r="AI115" s="18" t="s">
        <v>902</v>
      </c>
      <c r="AJ115" s="18">
        <v>1</v>
      </c>
      <c r="AK115" s="18" t="s">
        <v>1515</v>
      </c>
      <c r="AL115" s="19" t="s">
        <v>41</v>
      </c>
    </row>
    <row r="116" spans="1:38">
      <c r="A116" s="17" t="s">
        <v>1094</v>
      </c>
      <c r="B116" s="18" t="s">
        <v>806</v>
      </c>
      <c r="C116" s="18">
        <v>2</v>
      </c>
      <c r="D116" s="18" t="s">
        <v>1095</v>
      </c>
      <c r="E116" s="18" t="s">
        <v>1096</v>
      </c>
      <c r="F116" s="18" t="s">
        <v>41</v>
      </c>
      <c r="G116" s="18" t="s">
        <v>1097</v>
      </c>
      <c r="H116" s="18">
        <v>31</v>
      </c>
      <c r="I116" s="18">
        <v>200</v>
      </c>
      <c r="J116" s="18">
        <v>3000</v>
      </c>
      <c r="K116" s="18">
        <v>5030</v>
      </c>
      <c r="L116" s="18">
        <v>0</v>
      </c>
      <c r="M116" s="18">
        <v>0</v>
      </c>
      <c r="N116" s="18">
        <v>0</v>
      </c>
      <c r="O116" s="18">
        <v>83</v>
      </c>
      <c r="P116" s="18">
        <v>1060</v>
      </c>
      <c r="Q116" s="18">
        <f>#REF!/#REF!</f>
        <v>5.3</v>
      </c>
      <c r="R116" s="18"/>
      <c r="S116" s="18"/>
      <c r="T116" s="18"/>
      <c r="U116" s="18"/>
      <c r="V116" s="18"/>
      <c r="W116" s="18"/>
      <c r="X116" s="18"/>
      <c r="Y116" s="18"/>
      <c r="Z116" s="18">
        <v>240</v>
      </c>
      <c r="AA116" s="18">
        <v>230</v>
      </c>
      <c r="AB116" s="18"/>
      <c r="AC116" s="18"/>
      <c r="AD116" s="18"/>
      <c r="AE116" s="18">
        <v>318</v>
      </c>
      <c r="AF116" s="18">
        <v>477</v>
      </c>
      <c r="AG116" s="18" t="s">
        <v>41</v>
      </c>
      <c r="AH116" s="18" t="s">
        <v>962</v>
      </c>
      <c r="AI116" s="18" t="s">
        <v>41</v>
      </c>
      <c r="AJ116" s="18">
        <v>1</v>
      </c>
      <c r="AK116" s="18" t="s">
        <v>1609</v>
      </c>
      <c r="AL116" s="19" t="s">
        <v>41</v>
      </c>
    </row>
    <row r="117" spans="1:38">
      <c r="A117" s="17" t="s">
        <v>793</v>
      </c>
      <c r="B117" s="18" t="s">
        <v>38</v>
      </c>
      <c r="C117" s="18">
        <v>1</v>
      </c>
      <c r="D117" s="18" t="s">
        <v>794</v>
      </c>
      <c r="E117" s="18" t="s">
        <v>795</v>
      </c>
      <c r="F117" s="18" t="s">
        <v>41</v>
      </c>
      <c r="G117" s="18" t="s">
        <v>796</v>
      </c>
      <c r="H117" s="18">
        <v>84</v>
      </c>
      <c r="I117" s="18">
        <v>37</v>
      </c>
      <c r="J117" s="18">
        <v>175</v>
      </c>
      <c r="K117" s="18">
        <v>1600</v>
      </c>
      <c r="L117" s="18">
        <v>0</v>
      </c>
      <c r="M117" s="18">
        <v>0</v>
      </c>
      <c r="N117" s="18">
        <v>0</v>
      </c>
      <c r="O117" s="18">
        <v>0</v>
      </c>
      <c r="P117" s="18">
        <v>196</v>
      </c>
      <c r="Q117" s="18">
        <f>#REF!/#REF!</f>
        <v>5.2972972972972974</v>
      </c>
      <c r="R117" s="18"/>
      <c r="S117" s="18"/>
      <c r="T117" s="18"/>
      <c r="U117" s="18"/>
      <c r="V117" s="18"/>
      <c r="W117" s="18"/>
      <c r="X117" s="18"/>
      <c r="Y117" s="18">
        <v>1</v>
      </c>
      <c r="Z117" s="18">
        <v>0</v>
      </c>
      <c r="AA117" s="18">
        <v>0</v>
      </c>
      <c r="AB117" s="18"/>
      <c r="AC117" s="18"/>
      <c r="AD117" s="18"/>
      <c r="AE117" s="18">
        <v>273</v>
      </c>
      <c r="AF117" s="18">
        <v>410</v>
      </c>
      <c r="AG117" s="18" t="s">
        <v>41</v>
      </c>
      <c r="AH117" s="18" t="s">
        <v>41</v>
      </c>
      <c r="AI117" s="18" t="s">
        <v>41</v>
      </c>
      <c r="AJ117" s="18">
        <v>1</v>
      </c>
      <c r="AK117" s="18" t="s">
        <v>1470</v>
      </c>
      <c r="AL117" s="19" t="s">
        <v>41</v>
      </c>
    </row>
    <row r="118" spans="1:38">
      <c r="A118" s="17" t="s">
        <v>1147</v>
      </c>
      <c r="B118" s="18" t="s">
        <v>806</v>
      </c>
      <c r="C118" s="18">
        <v>2</v>
      </c>
      <c r="D118" s="18" t="s">
        <v>1148</v>
      </c>
      <c r="E118" s="18" t="s">
        <v>689</v>
      </c>
      <c r="F118" s="18" t="s">
        <v>41</v>
      </c>
      <c r="G118" s="18" t="s">
        <v>690</v>
      </c>
      <c r="H118" s="18">
        <v>22</v>
      </c>
      <c r="I118" s="18">
        <v>120</v>
      </c>
      <c r="J118" s="18">
        <v>1800</v>
      </c>
      <c r="K118" s="18">
        <v>6320</v>
      </c>
      <c r="L118" s="18">
        <v>0</v>
      </c>
      <c r="M118" s="18">
        <v>0</v>
      </c>
      <c r="N118" s="18">
        <v>0</v>
      </c>
      <c r="O118" s="18">
        <v>61</v>
      </c>
      <c r="P118" s="18">
        <v>630</v>
      </c>
      <c r="Q118" s="18">
        <f>#REF!/#REF!</f>
        <v>5.25</v>
      </c>
      <c r="R118" s="18"/>
      <c r="S118" s="18"/>
      <c r="T118" s="18"/>
      <c r="U118" s="18"/>
      <c r="V118" s="18">
        <v>1</v>
      </c>
      <c r="W118" s="18"/>
      <c r="X118" s="18"/>
      <c r="Y118" s="18"/>
      <c r="Z118" s="18">
        <v>0</v>
      </c>
      <c r="AA118" s="18">
        <v>0</v>
      </c>
      <c r="AB118" s="18">
        <v>900</v>
      </c>
      <c r="AC118" s="18"/>
      <c r="AD118" s="18"/>
      <c r="AE118" s="18">
        <v>403</v>
      </c>
      <c r="AF118" s="18">
        <v>605</v>
      </c>
      <c r="AG118" s="18" t="s">
        <v>148</v>
      </c>
      <c r="AH118" s="18" t="s">
        <v>41</v>
      </c>
      <c r="AI118" s="18" t="s">
        <v>41</v>
      </c>
      <c r="AJ118" s="18">
        <v>1</v>
      </c>
      <c r="AK118" s="18" t="s">
        <v>1632</v>
      </c>
      <c r="AL118" s="19" t="s">
        <v>41</v>
      </c>
    </row>
    <row r="119" spans="1:38">
      <c r="A119" s="17" t="s">
        <v>261</v>
      </c>
      <c r="B119" s="18" t="s">
        <v>38</v>
      </c>
      <c r="C119" s="18">
        <v>1</v>
      </c>
      <c r="D119" s="18" t="s">
        <v>262</v>
      </c>
      <c r="E119" s="18" t="s">
        <v>216</v>
      </c>
      <c r="F119" s="18" t="s">
        <v>41</v>
      </c>
      <c r="G119" s="18" t="s">
        <v>263</v>
      </c>
      <c r="H119" s="18">
        <v>33</v>
      </c>
      <c r="I119" s="18">
        <v>200</v>
      </c>
      <c r="J119" s="18">
        <v>2000</v>
      </c>
      <c r="K119" s="18">
        <v>3460</v>
      </c>
      <c r="L119" s="18">
        <v>0</v>
      </c>
      <c r="M119" s="18">
        <v>7</v>
      </c>
      <c r="N119" s="18">
        <v>125</v>
      </c>
      <c r="O119" s="18">
        <v>65</v>
      </c>
      <c r="P119" s="18">
        <v>1040</v>
      </c>
      <c r="Q119" s="18">
        <f>#REF!/#REF!</f>
        <v>5.2</v>
      </c>
      <c r="R119" s="18"/>
      <c r="S119" s="18"/>
      <c r="T119" s="18"/>
      <c r="U119" s="18"/>
      <c r="V119" s="18">
        <v>1</v>
      </c>
      <c r="W119" s="18"/>
      <c r="X119" s="18"/>
      <c r="Y119" s="18"/>
      <c r="Z119" s="18">
        <v>0</v>
      </c>
      <c r="AA119" s="18">
        <v>0</v>
      </c>
      <c r="AB119" s="18"/>
      <c r="AC119" s="18"/>
      <c r="AD119" s="18"/>
      <c r="AE119" s="18">
        <v>400</v>
      </c>
      <c r="AF119" s="18">
        <v>600</v>
      </c>
      <c r="AG119" s="18" t="s">
        <v>41</v>
      </c>
      <c r="AH119" s="18" t="s">
        <v>41</v>
      </c>
      <c r="AI119" s="18" t="s">
        <v>264</v>
      </c>
      <c r="AJ119" s="18">
        <v>1</v>
      </c>
      <c r="AK119" s="18" t="s">
        <v>1324</v>
      </c>
      <c r="AL119" s="19" t="s">
        <v>41</v>
      </c>
    </row>
    <row r="120" spans="1:38">
      <c r="A120" s="17" t="s">
        <v>593</v>
      </c>
      <c r="B120" s="18" t="s">
        <v>38</v>
      </c>
      <c r="C120" s="18">
        <v>1</v>
      </c>
      <c r="D120" s="18" t="s">
        <v>594</v>
      </c>
      <c r="E120" s="18" t="s">
        <v>595</v>
      </c>
      <c r="F120" s="18" t="s">
        <v>41</v>
      </c>
      <c r="G120" s="18" t="s">
        <v>20</v>
      </c>
      <c r="H120" s="18">
        <v>10</v>
      </c>
      <c r="I120" s="18">
        <v>150</v>
      </c>
      <c r="J120" s="18">
        <v>1000</v>
      </c>
      <c r="K120" s="18">
        <v>2700</v>
      </c>
      <c r="L120" s="18">
        <v>0</v>
      </c>
      <c r="M120" s="18">
        <v>0</v>
      </c>
      <c r="N120" s="18">
        <v>0</v>
      </c>
      <c r="O120" s="18">
        <v>93</v>
      </c>
      <c r="P120" s="18">
        <v>780</v>
      </c>
      <c r="Q120" s="18">
        <f>#REF!/#REF!</f>
        <v>5.2</v>
      </c>
      <c r="R120" s="18"/>
      <c r="S120" s="18"/>
      <c r="T120" s="18"/>
      <c r="U120" s="18"/>
      <c r="V120" s="18">
        <v>1</v>
      </c>
      <c r="W120" s="18"/>
      <c r="X120" s="18"/>
      <c r="Y120" s="18"/>
      <c r="Z120" s="18">
        <v>123</v>
      </c>
      <c r="AA120" s="18">
        <v>760</v>
      </c>
      <c r="AB120" s="18"/>
      <c r="AC120" s="18">
        <v>400</v>
      </c>
      <c r="AD120" s="18">
        <v>1000</v>
      </c>
      <c r="AE120" s="18">
        <v>750</v>
      </c>
      <c r="AF120" s="18">
        <v>800</v>
      </c>
      <c r="AG120" s="18" t="s">
        <v>596</v>
      </c>
      <c r="AH120" s="18" t="s">
        <v>114</v>
      </c>
      <c r="AI120" s="18" t="s">
        <v>41</v>
      </c>
      <c r="AJ120" s="18">
        <v>1</v>
      </c>
      <c r="AK120" s="18" t="s">
        <v>1415</v>
      </c>
      <c r="AL120" s="19" t="s">
        <v>41</v>
      </c>
    </row>
    <row r="121" spans="1:38">
      <c r="A121" s="17" t="s">
        <v>687</v>
      </c>
      <c r="B121" s="18" t="s">
        <v>38</v>
      </c>
      <c r="C121" s="18">
        <v>2</v>
      </c>
      <c r="D121" s="18" t="s">
        <v>688</v>
      </c>
      <c r="E121" s="18" t="s">
        <v>689</v>
      </c>
      <c r="F121" s="18" t="s">
        <v>41</v>
      </c>
      <c r="G121" s="18" t="s">
        <v>690</v>
      </c>
      <c r="H121" s="18">
        <v>27</v>
      </c>
      <c r="I121" s="18">
        <v>110</v>
      </c>
      <c r="J121" s="18">
        <v>1600</v>
      </c>
      <c r="K121" s="18">
        <v>6040</v>
      </c>
      <c r="L121" s="18">
        <v>0</v>
      </c>
      <c r="M121" s="18">
        <v>0</v>
      </c>
      <c r="N121" s="18">
        <v>0</v>
      </c>
      <c r="O121" s="18">
        <v>66</v>
      </c>
      <c r="P121" s="18">
        <v>570</v>
      </c>
      <c r="Q121" s="18">
        <f>#REF!/#REF!</f>
        <v>5.1818181818181817</v>
      </c>
      <c r="R121" s="18"/>
      <c r="S121" s="18"/>
      <c r="T121" s="18"/>
      <c r="U121" s="18"/>
      <c r="V121" s="18">
        <v>1</v>
      </c>
      <c r="W121" s="18"/>
      <c r="X121" s="18"/>
      <c r="Y121" s="18"/>
      <c r="Z121" s="18">
        <v>0</v>
      </c>
      <c r="AA121" s="18">
        <v>0</v>
      </c>
      <c r="AB121" s="18">
        <v>980</v>
      </c>
      <c r="AC121" s="18"/>
      <c r="AD121" s="18"/>
      <c r="AE121" s="18">
        <v>390</v>
      </c>
      <c r="AF121" s="18">
        <v>585</v>
      </c>
      <c r="AG121" s="18" t="s">
        <v>148</v>
      </c>
      <c r="AH121" s="18" t="s">
        <v>41</v>
      </c>
      <c r="AI121" s="18" t="s">
        <v>41</v>
      </c>
      <c r="AJ121" s="18">
        <v>1</v>
      </c>
      <c r="AK121" s="18" t="s">
        <v>1439</v>
      </c>
      <c r="AL121" s="19" t="s">
        <v>41</v>
      </c>
    </row>
    <row r="122" spans="1:38">
      <c r="A122" s="17" t="s">
        <v>1175</v>
      </c>
      <c r="B122" s="18" t="s">
        <v>806</v>
      </c>
      <c r="C122" s="18">
        <v>2</v>
      </c>
      <c r="D122" s="18" t="s">
        <v>1176</v>
      </c>
      <c r="E122" s="18" t="s">
        <v>1177</v>
      </c>
      <c r="F122" s="18" t="s">
        <v>41</v>
      </c>
      <c r="G122" s="18" t="s">
        <v>1178</v>
      </c>
      <c r="H122" s="18">
        <v>7</v>
      </c>
      <c r="I122" s="18">
        <v>600</v>
      </c>
      <c r="J122" s="18">
        <v>9000</v>
      </c>
      <c r="K122" s="18">
        <v>15000</v>
      </c>
      <c r="L122" s="18">
        <v>0</v>
      </c>
      <c r="M122" s="18">
        <v>0</v>
      </c>
      <c r="N122" s="18">
        <v>0</v>
      </c>
      <c r="O122" s="18">
        <v>48</v>
      </c>
      <c r="P122" s="18">
        <v>3100</v>
      </c>
      <c r="Q122" s="18">
        <f>#REF!/#REF!</f>
        <v>5.166666666666667</v>
      </c>
      <c r="R122" s="18"/>
      <c r="S122" s="18"/>
      <c r="T122" s="18"/>
      <c r="U122" s="18"/>
      <c r="V122" s="18"/>
      <c r="W122" s="18"/>
      <c r="X122" s="18"/>
      <c r="Y122" s="18"/>
      <c r="Z122" s="18">
        <v>331</v>
      </c>
      <c r="AA122" s="18">
        <v>340</v>
      </c>
      <c r="AB122" s="18"/>
      <c r="AC122" s="18"/>
      <c r="AD122" s="18"/>
      <c r="AE122" s="18">
        <v>380</v>
      </c>
      <c r="AF122" s="18">
        <v>570</v>
      </c>
      <c r="AG122" s="18" t="s">
        <v>41</v>
      </c>
      <c r="AH122" s="18" t="s">
        <v>128</v>
      </c>
      <c r="AI122" s="18" t="s">
        <v>41</v>
      </c>
      <c r="AJ122" s="18">
        <v>1</v>
      </c>
      <c r="AK122" s="18" t="s">
        <v>1646</v>
      </c>
      <c r="AL122" s="19" t="s">
        <v>41</v>
      </c>
    </row>
    <row r="123" spans="1:38">
      <c r="A123" s="17" t="s">
        <v>1021</v>
      </c>
      <c r="B123" s="18" t="s">
        <v>806</v>
      </c>
      <c r="C123" s="18">
        <v>3</v>
      </c>
      <c r="D123" s="18" t="s">
        <v>1022</v>
      </c>
      <c r="E123" s="18" t="s">
        <v>1023</v>
      </c>
      <c r="F123" s="18" t="s">
        <v>41</v>
      </c>
      <c r="G123" s="18" t="s">
        <v>1024</v>
      </c>
      <c r="H123" s="18">
        <v>145</v>
      </c>
      <c r="I123" s="18">
        <v>29000</v>
      </c>
      <c r="J123" s="18">
        <v>615000</v>
      </c>
      <c r="K123" s="18">
        <v>555000</v>
      </c>
      <c r="L123" s="18">
        <v>0</v>
      </c>
      <c r="M123" s="18">
        <v>300</v>
      </c>
      <c r="N123" s="18">
        <v>0</v>
      </c>
      <c r="O123" s="18">
        <v>34</v>
      </c>
      <c r="P123" s="18">
        <v>149000</v>
      </c>
      <c r="Q123" s="18">
        <f>#REF!/#REF!</f>
        <v>5.1379310344827589</v>
      </c>
      <c r="R123" s="18">
        <v>1</v>
      </c>
      <c r="S123" s="18"/>
      <c r="T123" s="18"/>
      <c r="U123" s="18"/>
      <c r="V123" s="18"/>
      <c r="W123" s="18"/>
      <c r="X123" s="18"/>
      <c r="Y123" s="18"/>
      <c r="Z123" s="18">
        <v>4187</v>
      </c>
      <c r="AA123" s="18">
        <v>950</v>
      </c>
      <c r="AB123" s="18"/>
      <c r="AC123" s="18"/>
      <c r="AD123" s="18"/>
      <c r="AE123" s="18">
        <v>845</v>
      </c>
      <c r="AF123" s="18">
        <v>1268</v>
      </c>
      <c r="AG123" s="18" t="s">
        <v>41</v>
      </c>
      <c r="AH123" s="18" t="s">
        <v>1025</v>
      </c>
      <c r="AI123" s="18" t="s">
        <v>41</v>
      </c>
      <c r="AJ123" s="18">
        <v>1</v>
      </c>
      <c r="AK123" s="18" t="s">
        <v>1572</v>
      </c>
      <c r="AL123" s="19" t="s">
        <v>41</v>
      </c>
    </row>
    <row r="124" spans="1:38">
      <c r="A124" s="17" t="s">
        <v>889</v>
      </c>
      <c r="B124" s="18" t="s">
        <v>806</v>
      </c>
      <c r="C124" s="18">
        <v>1</v>
      </c>
      <c r="D124" s="18" t="s">
        <v>890</v>
      </c>
      <c r="E124" s="18" t="s">
        <v>446</v>
      </c>
      <c r="F124" s="18" t="s">
        <v>41</v>
      </c>
      <c r="G124" s="18" t="s">
        <v>447</v>
      </c>
      <c r="H124" s="18">
        <v>28</v>
      </c>
      <c r="I124" s="18">
        <v>125</v>
      </c>
      <c r="J124" s="18">
        <v>1100</v>
      </c>
      <c r="K124" s="18">
        <v>1900</v>
      </c>
      <c r="L124" s="18">
        <v>0</v>
      </c>
      <c r="M124" s="18">
        <v>0</v>
      </c>
      <c r="N124" s="18">
        <v>0</v>
      </c>
      <c r="O124" s="18">
        <v>53</v>
      </c>
      <c r="P124" s="18">
        <v>640</v>
      </c>
      <c r="Q124" s="18">
        <f>#REF!/#REF!</f>
        <v>5.12</v>
      </c>
      <c r="R124" s="18">
        <v>1</v>
      </c>
      <c r="S124" s="18"/>
      <c r="T124" s="18"/>
      <c r="U124" s="18"/>
      <c r="V124" s="18"/>
      <c r="W124" s="18"/>
      <c r="X124" s="18"/>
      <c r="Y124" s="18"/>
      <c r="Z124" s="18">
        <v>55</v>
      </c>
      <c r="AA124" s="18">
        <v>760</v>
      </c>
      <c r="AB124" s="18"/>
      <c r="AC124" s="18"/>
      <c r="AD124" s="18"/>
      <c r="AE124" s="18">
        <v>380</v>
      </c>
      <c r="AF124" s="18">
        <v>800</v>
      </c>
      <c r="AG124" s="18" t="s">
        <v>41</v>
      </c>
      <c r="AH124" s="18" t="s">
        <v>88</v>
      </c>
      <c r="AI124" s="18" t="s">
        <v>41</v>
      </c>
      <c r="AJ124" s="18">
        <v>1</v>
      </c>
      <c r="AK124" s="18" t="s">
        <v>1512</v>
      </c>
      <c r="AL124" s="19" t="s">
        <v>41</v>
      </c>
    </row>
    <row r="125" spans="1:38">
      <c r="A125" s="17" t="s">
        <v>182</v>
      </c>
      <c r="B125" s="18" t="s">
        <v>38</v>
      </c>
      <c r="C125" s="18">
        <v>3</v>
      </c>
      <c r="D125" s="18" t="s">
        <v>183</v>
      </c>
      <c r="E125" s="18" t="s">
        <v>184</v>
      </c>
      <c r="F125" s="18" t="s">
        <v>41</v>
      </c>
      <c r="G125" s="18" t="s">
        <v>185</v>
      </c>
      <c r="H125" s="18">
        <v>100</v>
      </c>
      <c r="I125" s="18">
        <v>13500</v>
      </c>
      <c r="J125" s="18">
        <v>286000</v>
      </c>
      <c r="K125" s="18">
        <v>276000</v>
      </c>
      <c r="L125" s="18">
        <v>0</v>
      </c>
      <c r="M125" s="18">
        <v>150</v>
      </c>
      <c r="N125" s="18">
        <v>0</v>
      </c>
      <c r="O125" s="18">
        <v>46</v>
      </c>
      <c r="P125" s="18">
        <v>69000</v>
      </c>
      <c r="Q125" s="18">
        <f>#REF!/#REF!</f>
        <v>5.1111111111111107</v>
      </c>
      <c r="R125" s="18">
        <v>1</v>
      </c>
      <c r="S125" s="18"/>
      <c r="T125" s="18"/>
      <c r="U125" s="18"/>
      <c r="V125" s="18"/>
      <c r="W125" s="18"/>
      <c r="X125" s="18"/>
      <c r="Y125" s="18"/>
      <c r="Z125" s="18">
        <v>1452</v>
      </c>
      <c r="AA125" s="18">
        <v>860</v>
      </c>
      <c r="AB125" s="18"/>
      <c r="AC125" s="18"/>
      <c r="AD125" s="18"/>
      <c r="AE125" s="18">
        <v>617</v>
      </c>
      <c r="AF125" s="18">
        <v>1100</v>
      </c>
      <c r="AG125" s="18" t="s">
        <v>41</v>
      </c>
      <c r="AH125" s="18" t="s">
        <v>186</v>
      </c>
      <c r="AI125" s="18" t="s">
        <v>41</v>
      </c>
      <c r="AJ125" s="18">
        <v>1</v>
      </c>
      <c r="AK125" s="18" t="s">
        <v>1306</v>
      </c>
      <c r="AL125" s="19" t="s">
        <v>41</v>
      </c>
    </row>
    <row r="126" spans="1:38">
      <c r="A126" s="17" t="s">
        <v>178</v>
      </c>
      <c r="B126" s="18" t="s">
        <v>38</v>
      </c>
      <c r="C126" s="18">
        <v>2</v>
      </c>
      <c r="D126" s="18" t="s">
        <v>179</v>
      </c>
      <c r="E126" s="18" t="s">
        <v>180</v>
      </c>
      <c r="F126" s="18" t="s">
        <v>41</v>
      </c>
      <c r="G126" s="18" t="s">
        <v>181</v>
      </c>
      <c r="H126" s="18">
        <v>10</v>
      </c>
      <c r="I126" s="18">
        <v>175</v>
      </c>
      <c r="J126" s="18">
        <v>8600</v>
      </c>
      <c r="K126" s="18">
        <v>12800</v>
      </c>
      <c r="L126" s="18">
        <v>0</v>
      </c>
      <c r="M126" s="18">
        <v>0</v>
      </c>
      <c r="N126" s="18">
        <v>0</v>
      </c>
      <c r="O126" s="18">
        <v>317</v>
      </c>
      <c r="P126" s="18">
        <v>890</v>
      </c>
      <c r="Q126" s="18">
        <f>#REF!/#REF!</f>
        <v>5.0857142857142854</v>
      </c>
      <c r="R126" s="18"/>
      <c r="S126" s="18"/>
      <c r="T126" s="18">
        <v>1</v>
      </c>
      <c r="U126" s="18"/>
      <c r="V126" s="18"/>
      <c r="W126" s="18"/>
      <c r="X126" s="18"/>
      <c r="Y126" s="18"/>
      <c r="Z126" s="18">
        <v>0</v>
      </c>
      <c r="AA126" s="18">
        <v>0</v>
      </c>
      <c r="AB126" s="18"/>
      <c r="AC126" s="18">
        <v>1200</v>
      </c>
      <c r="AD126" s="18">
        <v>2500</v>
      </c>
      <c r="AE126" s="18">
        <v>1275</v>
      </c>
      <c r="AF126" s="18">
        <v>1913</v>
      </c>
      <c r="AG126" s="18" t="s">
        <v>48</v>
      </c>
      <c r="AH126" s="18" t="s">
        <v>41</v>
      </c>
      <c r="AI126" s="18" t="s">
        <v>41</v>
      </c>
      <c r="AJ126" s="18">
        <v>1</v>
      </c>
      <c r="AK126" s="18" t="s">
        <v>1305</v>
      </c>
      <c r="AL126" s="19" t="s">
        <v>41</v>
      </c>
    </row>
    <row r="127" spans="1:38">
      <c r="A127" s="17" t="s">
        <v>498</v>
      </c>
      <c r="B127" s="18" t="s">
        <v>38</v>
      </c>
      <c r="C127" s="18">
        <v>3</v>
      </c>
      <c r="D127" s="18" t="s">
        <v>499</v>
      </c>
      <c r="E127" s="18" t="s">
        <v>500</v>
      </c>
      <c r="F127" s="18" t="s">
        <v>41</v>
      </c>
      <c r="G127" s="18" t="s">
        <v>501</v>
      </c>
      <c r="H127" s="18">
        <v>56</v>
      </c>
      <c r="I127" s="18">
        <v>970</v>
      </c>
      <c r="J127" s="18">
        <v>21000</v>
      </c>
      <c r="K127" s="18">
        <v>26100</v>
      </c>
      <c r="L127" s="18">
        <v>0</v>
      </c>
      <c r="M127" s="18">
        <v>0</v>
      </c>
      <c r="N127" s="18">
        <v>0</v>
      </c>
      <c r="O127" s="18">
        <v>95</v>
      </c>
      <c r="P127" s="18">
        <v>4900</v>
      </c>
      <c r="Q127" s="18">
        <f>#REF!/#REF!</f>
        <v>5.0515463917525771</v>
      </c>
      <c r="R127" s="18">
        <v>1</v>
      </c>
      <c r="S127" s="18"/>
      <c r="T127" s="18"/>
      <c r="U127" s="18"/>
      <c r="V127" s="18"/>
      <c r="W127" s="18"/>
      <c r="X127" s="18"/>
      <c r="Y127" s="18"/>
      <c r="Z127" s="18">
        <v>379</v>
      </c>
      <c r="AA127" s="18">
        <v>600</v>
      </c>
      <c r="AB127" s="18"/>
      <c r="AC127" s="18"/>
      <c r="AD127" s="18"/>
      <c r="AE127" s="18">
        <v>455</v>
      </c>
      <c r="AF127" s="18">
        <v>683</v>
      </c>
      <c r="AG127" s="18" t="s">
        <v>41</v>
      </c>
      <c r="AH127" s="18" t="s">
        <v>54</v>
      </c>
      <c r="AI127" s="18" t="s">
        <v>41</v>
      </c>
      <c r="AJ127" s="18">
        <v>1</v>
      </c>
      <c r="AK127" s="18" t="s">
        <v>1389</v>
      </c>
      <c r="AL127" s="19" t="s">
        <v>41</v>
      </c>
    </row>
    <row r="128" spans="1:38">
      <c r="A128" s="17" t="s">
        <v>444</v>
      </c>
      <c r="B128" s="18" t="s">
        <v>38</v>
      </c>
      <c r="C128" s="18">
        <v>1</v>
      </c>
      <c r="D128" s="18" t="s">
        <v>445</v>
      </c>
      <c r="E128" s="18" t="s">
        <v>446</v>
      </c>
      <c r="F128" s="18" t="s">
        <v>41</v>
      </c>
      <c r="G128" s="18" t="s">
        <v>447</v>
      </c>
      <c r="H128" s="18">
        <v>28</v>
      </c>
      <c r="I128" s="18">
        <v>125</v>
      </c>
      <c r="J128" s="18">
        <v>1100</v>
      </c>
      <c r="K128" s="18">
        <v>1830</v>
      </c>
      <c r="L128" s="18">
        <v>0</v>
      </c>
      <c r="M128" s="18">
        <v>0</v>
      </c>
      <c r="N128" s="18">
        <v>0</v>
      </c>
      <c r="O128" s="18">
        <v>56</v>
      </c>
      <c r="P128" s="18">
        <v>630</v>
      </c>
      <c r="Q128" s="18">
        <f>#REF!/#REF!</f>
        <v>5.04</v>
      </c>
      <c r="R128" s="18">
        <v>1</v>
      </c>
      <c r="S128" s="18"/>
      <c r="T128" s="18"/>
      <c r="U128" s="18"/>
      <c r="V128" s="18"/>
      <c r="W128" s="18"/>
      <c r="X128" s="18"/>
      <c r="Y128" s="18"/>
      <c r="Z128" s="18">
        <v>55</v>
      </c>
      <c r="AA128" s="18">
        <v>760</v>
      </c>
      <c r="AB128" s="18"/>
      <c r="AC128" s="18"/>
      <c r="AD128" s="18"/>
      <c r="AE128" s="18">
        <v>377</v>
      </c>
      <c r="AF128" s="18">
        <v>800</v>
      </c>
      <c r="AG128" s="18" t="s">
        <v>41</v>
      </c>
      <c r="AH128" s="18" t="s">
        <v>88</v>
      </c>
      <c r="AI128" s="18" t="s">
        <v>41</v>
      </c>
      <c r="AJ128" s="18">
        <v>1</v>
      </c>
      <c r="AK128" s="18" t="s">
        <v>1375</v>
      </c>
      <c r="AL128" s="19" t="s">
        <v>41</v>
      </c>
    </row>
    <row r="129" spans="1:38">
      <c r="A129" s="17" t="s">
        <v>1017</v>
      </c>
      <c r="B129" s="18" t="s">
        <v>806</v>
      </c>
      <c r="C129" s="18">
        <v>3</v>
      </c>
      <c r="D129" s="18" t="s">
        <v>1018</v>
      </c>
      <c r="E129" s="18" t="s">
        <v>1019</v>
      </c>
      <c r="F129" s="18" t="s">
        <v>41</v>
      </c>
      <c r="G129" s="18" t="s">
        <v>1020</v>
      </c>
      <c r="H129" s="18">
        <v>39</v>
      </c>
      <c r="I129" s="18">
        <v>2500</v>
      </c>
      <c r="J129" s="18">
        <v>57000</v>
      </c>
      <c r="K129" s="18">
        <v>76000</v>
      </c>
      <c r="L129" s="18">
        <v>0</v>
      </c>
      <c r="M129" s="18">
        <v>0</v>
      </c>
      <c r="N129" s="18">
        <v>0</v>
      </c>
      <c r="O129" s="18">
        <v>45</v>
      </c>
      <c r="P129" s="18">
        <v>12500</v>
      </c>
      <c r="Q129" s="18">
        <f>#REF!/#REF!</f>
        <v>5</v>
      </c>
      <c r="R129" s="18"/>
      <c r="S129" s="18"/>
      <c r="T129" s="18"/>
      <c r="U129" s="18"/>
      <c r="V129" s="18"/>
      <c r="W129" s="18"/>
      <c r="X129" s="18"/>
      <c r="Y129" s="18"/>
      <c r="Z129" s="18">
        <v>850</v>
      </c>
      <c r="AA129" s="18">
        <v>700</v>
      </c>
      <c r="AB129" s="18"/>
      <c r="AC129" s="18"/>
      <c r="AD129" s="18"/>
      <c r="AE129" s="18">
        <v>455</v>
      </c>
      <c r="AF129" s="18">
        <v>683</v>
      </c>
      <c r="AG129" s="18" t="s">
        <v>41</v>
      </c>
      <c r="AH129" s="18" t="s">
        <v>443</v>
      </c>
      <c r="AI129" s="18" t="s">
        <v>41</v>
      </c>
      <c r="AJ129" s="18">
        <v>1</v>
      </c>
      <c r="AK129" s="18" t="s">
        <v>1571</v>
      </c>
      <c r="AL129" s="19" t="s">
        <v>41</v>
      </c>
    </row>
    <row r="130" spans="1:38">
      <c r="A130" s="17" t="s">
        <v>910</v>
      </c>
      <c r="B130" s="18" t="s">
        <v>806</v>
      </c>
      <c r="C130" s="18">
        <v>2</v>
      </c>
      <c r="D130" s="18" t="s">
        <v>243</v>
      </c>
      <c r="E130" s="18" t="s">
        <v>278</v>
      </c>
      <c r="F130" s="18" t="s">
        <v>41</v>
      </c>
      <c r="G130" s="18" t="s">
        <v>885</v>
      </c>
      <c r="H130" s="18">
        <v>64</v>
      </c>
      <c r="I130" s="18">
        <v>750</v>
      </c>
      <c r="J130" s="18">
        <v>13000</v>
      </c>
      <c r="K130" s="18">
        <v>27000</v>
      </c>
      <c r="L130" s="18">
        <v>0</v>
      </c>
      <c r="M130" s="18">
        <v>15</v>
      </c>
      <c r="N130" s="18">
        <v>300</v>
      </c>
      <c r="O130" s="18">
        <v>38</v>
      </c>
      <c r="P130" s="18">
        <v>3700</v>
      </c>
      <c r="Q130" s="18">
        <f>#REF!/#REF!</f>
        <v>4.9333333333333336</v>
      </c>
      <c r="R130" s="18">
        <v>1</v>
      </c>
      <c r="S130" s="18"/>
      <c r="T130" s="18"/>
      <c r="U130" s="18"/>
      <c r="V130" s="18"/>
      <c r="W130" s="18"/>
      <c r="X130" s="18"/>
      <c r="Y130" s="18"/>
      <c r="Z130" s="18">
        <v>294</v>
      </c>
      <c r="AA130" s="18">
        <v>300</v>
      </c>
      <c r="AB130" s="18"/>
      <c r="AC130" s="18">
        <v>450</v>
      </c>
      <c r="AD130" s="18">
        <v>700</v>
      </c>
      <c r="AE130" s="18">
        <v>450</v>
      </c>
      <c r="AF130" s="18">
        <v>675</v>
      </c>
      <c r="AG130" s="18" t="s">
        <v>244</v>
      </c>
      <c r="AH130" s="18" t="s">
        <v>245</v>
      </c>
      <c r="AI130" s="18" t="s">
        <v>911</v>
      </c>
      <c r="AJ130" s="18">
        <v>1</v>
      </c>
      <c r="AK130" s="18" t="s">
        <v>1519</v>
      </c>
      <c r="AL130" s="19" t="s">
        <v>41</v>
      </c>
    </row>
    <row r="131" spans="1:38">
      <c r="A131" s="17" t="s">
        <v>583</v>
      </c>
      <c r="B131" s="18" t="s">
        <v>38</v>
      </c>
      <c r="C131" s="18">
        <v>2</v>
      </c>
      <c r="D131" s="18" t="s">
        <v>584</v>
      </c>
      <c r="E131" s="18" t="s">
        <v>585</v>
      </c>
      <c r="F131" s="18" t="s">
        <v>41</v>
      </c>
      <c r="G131" s="18" t="s">
        <v>586</v>
      </c>
      <c r="H131" s="18">
        <v>13</v>
      </c>
      <c r="I131" s="18">
        <v>230</v>
      </c>
      <c r="J131" s="18">
        <v>12500</v>
      </c>
      <c r="K131" s="18">
        <v>21000</v>
      </c>
      <c r="L131" s="18">
        <v>0</v>
      </c>
      <c r="M131" s="18">
        <v>0</v>
      </c>
      <c r="N131" s="18">
        <v>0</v>
      </c>
      <c r="O131" s="18">
        <v>258</v>
      </c>
      <c r="P131" s="18">
        <v>1130</v>
      </c>
      <c r="Q131" s="18">
        <f>#REF!/#REF!</f>
        <v>4.9130434782608692</v>
      </c>
      <c r="R131" s="18"/>
      <c r="S131" s="18"/>
      <c r="T131" s="18">
        <v>1</v>
      </c>
      <c r="U131" s="18"/>
      <c r="V131" s="18"/>
      <c r="W131" s="18"/>
      <c r="X131" s="18"/>
      <c r="Y131" s="18"/>
      <c r="Z131" s="18">
        <v>190</v>
      </c>
      <c r="AA131" s="18">
        <v>1280</v>
      </c>
      <c r="AB131" s="18"/>
      <c r="AC131" s="18"/>
      <c r="AD131" s="18"/>
      <c r="AE131" s="18">
        <v>260</v>
      </c>
      <c r="AF131" s="18">
        <v>390</v>
      </c>
      <c r="AG131" s="18" t="s">
        <v>41</v>
      </c>
      <c r="AH131" s="18" t="s">
        <v>587</v>
      </c>
      <c r="AI131" s="18" t="s">
        <v>41</v>
      </c>
      <c r="AJ131" s="18">
        <v>1</v>
      </c>
      <c r="AK131" s="18" t="s">
        <v>1413</v>
      </c>
      <c r="AL131" s="19" t="s">
        <v>41</v>
      </c>
    </row>
    <row r="132" spans="1:38">
      <c r="A132" s="17" t="s">
        <v>1003</v>
      </c>
      <c r="B132" s="18" t="s">
        <v>806</v>
      </c>
      <c r="C132" s="18">
        <v>2</v>
      </c>
      <c r="D132" s="18" t="s">
        <v>1004</v>
      </c>
      <c r="E132" s="18" t="s">
        <v>1005</v>
      </c>
      <c r="F132" s="18" t="s">
        <v>41</v>
      </c>
      <c r="G132" s="18" t="s">
        <v>586</v>
      </c>
      <c r="H132" s="18">
        <v>17</v>
      </c>
      <c r="I132" s="18">
        <v>310</v>
      </c>
      <c r="J132" s="18">
        <v>18500</v>
      </c>
      <c r="K132" s="18">
        <v>31000</v>
      </c>
      <c r="L132" s="18">
        <v>0</v>
      </c>
      <c r="M132" s="18">
        <v>0</v>
      </c>
      <c r="N132" s="18">
        <v>0</v>
      </c>
      <c r="O132" s="18">
        <v>248</v>
      </c>
      <c r="P132" s="18">
        <v>1520</v>
      </c>
      <c r="Q132" s="18">
        <f>#REF!/#REF!</f>
        <v>4.903225806451613</v>
      </c>
      <c r="R132" s="18"/>
      <c r="S132" s="18"/>
      <c r="T132" s="18">
        <v>1</v>
      </c>
      <c r="U132" s="18"/>
      <c r="V132" s="18"/>
      <c r="W132" s="18"/>
      <c r="X132" s="18"/>
      <c r="Y132" s="18"/>
      <c r="Z132" s="18">
        <v>238</v>
      </c>
      <c r="AA132" s="18">
        <v>1280</v>
      </c>
      <c r="AB132" s="18"/>
      <c r="AC132" s="18"/>
      <c r="AD132" s="18"/>
      <c r="AE132" s="18">
        <v>221</v>
      </c>
      <c r="AF132" s="18">
        <v>332</v>
      </c>
      <c r="AG132" s="18" t="s">
        <v>41</v>
      </c>
      <c r="AH132" s="18" t="s">
        <v>587</v>
      </c>
      <c r="AI132" s="18" t="s">
        <v>41</v>
      </c>
      <c r="AJ132" s="18">
        <v>1</v>
      </c>
      <c r="AK132" s="18" t="s">
        <v>1563</v>
      </c>
      <c r="AL132" s="19" t="s">
        <v>41</v>
      </c>
    </row>
    <row r="133" spans="1:38">
      <c r="A133" s="17" t="s">
        <v>210</v>
      </c>
      <c r="B133" s="18" t="s">
        <v>38</v>
      </c>
      <c r="C133" s="18">
        <v>2</v>
      </c>
      <c r="D133" s="18" t="s">
        <v>211</v>
      </c>
      <c r="E133" s="18" t="s">
        <v>212</v>
      </c>
      <c r="F133" s="18" t="s">
        <v>41</v>
      </c>
      <c r="G133" s="18" t="s">
        <v>213</v>
      </c>
      <c r="H133" s="18">
        <v>28</v>
      </c>
      <c r="I133" s="18">
        <v>950</v>
      </c>
      <c r="J133" s="18">
        <v>13000</v>
      </c>
      <c r="K133" s="18">
        <v>17200</v>
      </c>
      <c r="L133" s="18">
        <v>0</v>
      </c>
      <c r="M133" s="18">
        <v>0</v>
      </c>
      <c r="N133" s="18">
        <v>0</v>
      </c>
      <c r="O133" s="18">
        <v>65</v>
      </c>
      <c r="P133" s="18">
        <v>4650</v>
      </c>
      <c r="Q133" s="18">
        <f>#REF!/#REF!</f>
        <v>4.8947368421052628</v>
      </c>
      <c r="R133" s="18"/>
      <c r="S133" s="18"/>
      <c r="T133" s="18"/>
      <c r="U133" s="18"/>
      <c r="V133" s="18"/>
      <c r="W133" s="18"/>
      <c r="X133" s="18"/>
      <c r="Y133" s="18"/>
      <c r="Z133" s="18">
        <v>245</v>
      </c>
      <c r="AA133" s="18">
        <v>460</v>
      </c>
      <c r="AB133" s="18"/>
      <c r="AC133" s="18"/>
      <c r="AD133" s="18"/>
      <c r="AE133" s="18">
        <v>494</v>
      </c>
      <c r="AF133" s="18">
        <v>741</v>
      </c>
      <c r="AG133" s="18" t="s">
        <v>41</v>
      </c>
      <c r="AH133" s="18" t="s">
        <v>124</v>
      </c>
      <c r="AI133" s="18" t="s">
        <v>41</v>
      </c>
      <c r="AJ133" s="18">
        <v>1</v>
      </c>
      <c r="AK133" s="18" t="s">
        <v>1314</v>
      </c>
      <c r="AL133" s="19" t="s">
        <v>41</v>
      </c>
    </row>
    <row r="134" spans="1:38">
      <c r="A134" s="17" t="s">
        <v>636</v>
      </c>
      <c r="B134" s="18" t="s">
        <v>38</v>
      </c>
      <c r="C134" s="18">
        <v>1</v>
      </c>
      <c r="D134" s="18" t="s">
        <v>637</v>
      </c>
      <c r="E134" s="18" t="s">
        <v>638</v>
      </c>
      <c r="F134" s="18" t="s">
        <v>41</v>
      </c>
      <c r="G134" s="18" t="s">
        <v>639</v>
      </c>
      <c r="H134" s="18">
        <v>20</v>
      </c>
      <c r="I134" s="18">
        <v>240</v>
      </c>
      <c r="J134" s="18">
        <v>7500</v>
      </c>
      <c r="K134" s="18">
        <v>8000</v>
      </c>
      <c r="L134" s="18">
        <v>0</v>
      </c>
      <c r="M134" s="18">
        <v>0</v>
      </c>
      <c r="N134" s="18">
        <v>0</v>
      </c>
      <c r="O134" s="18">
        <v>267</v>
      </c>
      <c r="P134" s="18">
        <v>1170</v>
      </c>
      <c r="Q134" s="18">
        <f>#REF!/#REF!</f>
        <v>4.875</v>
      </c>
      <c r="R134" s="18">
        <v>1</v>
      </c>
      <c r="S134" s="18"/>
      <c r="T134" s="18">
        <v>1</v>
      </c>
      <c r="U134" s="18"/>
      <c r="V134" s="18"/>
      <c r="W134" s="18"/>
      <c r="X134" s="18"/>
      <c r="Y134" s="18"/>
      <c r="Z134" s="18">
        <v>143</v>
      </c>
      <c r="AA134" s="18">
        <v>1280</v>
      </c>
      <c r="AB134" s="18"/>
      <c r="AC134" s="18"/>
      <c r="AD134" s="18"/>
      <c r="AE134" s="18">
        <v>455</v>
      </c>
      <c r="AF134" s="18">
        <v>683</v>
      </c>
      <c r="AG134" s="18" t="s">
        <v>41</v>
      </c>
      <c r="AH134" s="18" t="s">
        <v>587</v>
      </c>
      <c r="AI134" s="18" t="s">
        <v>41</v>
      </c>
      <c r="AJ134" s="18">
        <v>1</v>
      </c>
      <c r="AK134" s="18" t="s">
        <v>1426</v>
      </c>
      <c r="AL134" s="19" t="s">
        <v>41</v>
      </c>
    </row>
    <row r="135" spans="1:38">
      <c r="A135" s="17" t="s">
        <v>431</v>
      </c>
      <c r="B135" s="18" t="s">
        <v>38</v>
      </c>
      <c r="C135" s="18">
        <v>2</v>
      </c>
      <c r="D135" s="18" t="s">
        <v>432</v>
      </c>
      <c r="E135" s="18" t="s">
        <v>433</v>
      </c>
      <c r="F135" s="18" t="s">
        <v>41</v>
      </c>
      <c r="G135" s="18" t="s">
        <v>434</v>
      </c>
      <c r="H135" s="18">
        <v>17</v>
      </c>
      <c r="I135" s="18">
        <v>105</v>
      </c>
      <c r="J135" s="18">
        <v>1700</v>
      </c>
      <c r="K135" s="18">
        <v>5930</v>
      </c>
      <c r="L135" s="18">
        <v>0</v>
      </c>
      <c r="M135" s="18">
        <v>0</v>
      </c>
      <c r="N135" s="18">
        <v>0</v>
      </c>
      <c r="O135" s="18">
        <v>33</v>
      </c>
      <c r="P135" s="18">
        <v>510</v>
      </c>
      <c r="Q135" s="18">
        <f>#REF!/#REF!</f>
        <v>4.8571428571428568</v>
      </c>
      <c r="R135" s="18"/>
      <c r="S135" s="18"/>
      <c r="T135" s="18"/>
      <c r="U135" s="18"/>
      <c r="V135" s="18"/>
      <c r="W135" s="18"/>
      <c r="X135" s="18"/>
      <c r="Y135" s="18"/>
      <c r="Z135" s="18">
        <v>0</v>
      </c>
      <c r="AA135" s="18">
        <v>0</v>
      </c>
      <c r="AB135" s="18">
        <v>450</v>
      </c>
      <c r="AC135" s="18"/>
      <c r="AD135" s="18"/>
      <c r="AE135" s="18">
        <v>300</v>
      </c>
      <c r="AF135" s="18">
        <v>450</v>
      </c>
      <c r="AG135" s="18" t="s">
        <v>148</v>
      </c>
      <c r="AH135" s="18" t="s">
        <v>41</v>
      </c>
      <c r="AI135" s="18" t="s">
        <v>41</v>
      </c>
      <c r="AJ135" s="18">
        <v>1</v>
      </c>
      <c r="AK135" s="18" t="s">
        <v>1372</v>
      </c>
      <c r="AL135" s="19" t="s">
        <v>41</v>
      </c>
    </row>
    <row r="136" spans="1:38">
      <c r="A136" s="17" t="s">
        <v>628</v>
      </c>
      <c r="B136" s="18" t="s">
        <v>38</v>
      </c>
      <c r="C136" s="18">
        <v>1</v>
      </c>
      <c r="D136" s="18" t="s">
        <v>629</v>
      </c>
      <c r="E136" s="18" t="s">
        <v>630</v>
      </c>
      <c r="F136" s="18" t="s">
        <v>41</v>
      </c>
      <c r="G136" s="18" t="s">
        <v>631</v>
      </c>
      <c r="H136" s="18">
        <v>13</v>
      </c>
      <c r="I136" s="18">
        <v>210</v>
      </c>
      <c r="J136" s="18">
        <v>6400</v>
      </c>
      <c r="K136" s="18">
        <v>9000</v>
      </c>
      <c r="L136" s="18">
        <v>0</v>
      </c>
      <c r="M136" s="18">
        <v>0</v>
      </c>
      <c r="N136" s="18">
        <v>0</v>
      </c>
      <c r="O136" s="18">
        <v>157</v>
      </c>
      <c r="P136" s="18">
        <v>1010</v>
      </c>
      <c r="Q136" s="18">
        <f>#REF!/#REF!</f>
        <v>4.8095238095238093</v>
      </c>
      <c r="R136" s="18">
        <v>1</v>
      </c>
      <c r="S136" s="18"/>
      <c r="T136" s="18">
        <v>1</v>
      </c>
      <c r="U136" s="18"/>
      <c r="V136" s="18"/>
      <c r="W136" s="18"/>
      <c r="X136" s="18"/>
      <c r="Y136" s="18"/>
      <c r="Z136" s="18">
        <v>67</v>
      </c>
      <c r="AA136" s="18">
        <v>425</v>
      </c>
      <c r="AB136" s="18"/>
      <c r="AC136" s="18"/>
      <c r="AD136" s="18"/>
      <c r="AE136" s="18">
        <v>595</v>
      </c>
      <c r="AF136" s="18">
        <v>893</v>
      </c>
      <c r="AG136" s="18" t="s">
        <v>41</v>
      </c>
      <c r="AH136" s="18" t="s">
        <v>158</v>
      </c>
      <c r="AI136" s="18" t="s">
        <v>41</v>
      </c>
      <c r="AJ136" s="18">
        <v>1</v>
      </c>
      <c r="AK136" s="18" t="s">
        <v>1424</v>
      </c>
      <c r="AL136" s="19" t="s">
        <v>41</v>
      </c>
    </row>
    <row r="137" spans="1:38">
      <c r="A137" s="17" t="s">
        <v>277</v>
      </c>
      <c r="B137" s="18" t="s">
        <v>38</v>
      </c>
      <c r="C137" s="18">
        <v>2</v>
      </c>
      <c r="D137" s="18" t="s">
        <v>243</v>
      </c>
      <c r="E137" s="18" t="s">
        <v>278</v>
      </c>
      <c r="F137" s="18" t="s">
        <v>41</v>
      </c>
      <c r="G137" s="18" t="s">
        <v>241</v>
      </c>
      <c r="H137" s="18">
        <v>64</v>
      </c>
      <c r="I137" s="18">
        <v>770</v>
      </c>
      <c r="J137" s="18">
        <v>12000</v>
      </c>
      <c r="K137" s="18">
        <v>24000</v>
      </c>
      <c r="L137" s="18">
        <v>0</v>
      </c>
      <c r="M137" s="18">
        <v>15</v>
      </c>
      <c r="N137" s="18">
        <v>300</v>
      </c>
      <c r="O137" s="18">
        <v>38</v>
      </c>
      <c r="P137" s="18">
        <v>3700</v>
      </c>
      <c r="Q137" s="18">
        <f>#REF!/#REF!</f>
        <v>4.8051948051948052</v>
      </c>
      <c r="R137" s="18">
        <v>1</v>
      </c>
      <c r="S137" s="18"/>
      <c r="T137" s="18"/>
      <c r="U137" s="18"/>
      <c r="V137" s="18"/>
      <c r="W137" s="18"/>
      <c r="X137" s="18"/>
      <c r="Y137" s="18"/>
      <c r="Z137" s="18">
        <v>294</v>
      </c>
      <c r="AA137" s="18">
        <v>300</v>
      </c>
      <c r="AB137" s="18"/>
      <c r="AC137" s="18">
        <v>450</v>
      </c>
      <c r="AD137" s="18">
        <v>700</v>
      </c>
      <c r="AE137" s="18">
        <v>450</v>
      </c>
      <c r="AF137" s="18">
        <v>675</v>
      </c>
      <c r="AG137" s="18" t="s">
        <v>244</v>
      </c>
      <c r="AH137" s="18" t="s">
        <v>245</v>
      </c>
      <c r="AI137" s="18" t="s">
        <v>279</v>
      </c>
      <c r="AJ137" s="18">
        <v>1</v>
      </c>
      <c r="AK137" s="18" t="s">
        <v>1328</v>
      </c>
      <c r="AL137" s="19" t="s">
        <v>41</v>
      </c>
    </row>
    <row r="138" spans="1:38">
      <c r="A138" s="17" t="s">
        <v>465</v>
      </c>
      <c r="B138" s="18" t="s">
        <v>38</v>
      </c>
      <c r="C138" s="18">
        <v>2</v>
      </c>
      <c r="D138" s="18" t="s">
        <v>466</v>
      </c>
      <c r="E138" s="18" t="s">
        <v>467</v>
      </c>
      <c r="F138" s="18" t="s">
        <v>41</v>
      </c>
      <c r="G138" s="18" t="s">
        <v>468</v>
      </c>
      <c r="H138" s="18">
        <v>12</v>
      </c>
      <c r="I138" s="18">
        <v>400</v>
      </c>
      <c r="J138" s="18">
        <v>8000</v>
      </c>
      <c r="K138" s="18">
        <v>15100</v>
      </c>
      <c r="L138" s="18">
        <v>0</v>
      </c>
      <c r="M138" s="18">
        <v>0</v>
      </c>
      <c r="N138" s="18">
        <v>0</v>
      </c>
      <c r="O138" s="18">
        <v>285</v>
      </c>
      <c r="P138" s="18">
        <v>1920</v>
      </c>
      <c r="Q138" s="18">
        <f>#REF!/#REF!</f>
        <v>4.8</v>
      </c>
      <c r="R138" s="18"/>
      <c r="S138" s="18"/>
      <c r="T138" s="18">
        <v>1</v>
      </c>
      <c r="U138" s="18"/>
      <c r="V138" s="18"/>
      <c r="W138" s="18"/>
      <c r="X138" s="18"/>
      <c r="Y138" s="18"/>
      <c r="Z138" s="18">
        <v>188</v>
      </c>
      <c r="AA138" s="18">
        <v>400</v>
      </c>
      <c r="AB138" s="18"/>
      <c r="AC138" s="18">
        <v>800</v>
      </c>
      <c r="AD138" s="18">
        <v>800</v>
      </c>
      <c r="AE138" s="18">
        <v>500</v>
      </c>
      <c r="AF138" s="18">
        <v>750</v>
      </c>
      <c r="AG138" s="18" t="s">
        <v>41</v>
      </c>
      <c r="AH138" s="18" t="s">
        <v>168</v>
      </c>
      <c r="AI138" s="18" t="s">
        <v>41</v>
      </c>
      <c r="AJ138" s="18">
        <v>1</v>
      </c>
      <c r="AK138" s="18" t="s">
        <v>1380</v>
      </c>
      <c r="AL138" s="19" t="s">
        <v>41</v>
      </c>
    </row>
    <row r="139" spans="1:38">
      <c r="A139" s="17" t="s">
        <v>927</v>
      </c>
      <c r="B139" s="18" t="s">
        <v>806</v>
      </c>
      <c r="C139" s="18">
        <v>1</v>
      </c>
      <c r="D139" s="18" t="s">
        <v>928</v>
      </c>
      <c r="E139" s="18" t="s">
        <v>929</v>
      </c>
      <c r="F139" s="18" t="s">
        <v>41</v>
      </c>
      <c r="G139" s="18" t="s">
        <v>276</v>
      </c>
      <c r="H139" s="18">
        <v>11</v>
      </c>
      <c r="I139" s="18">
        <v>100</v>
      </c>
      <c r="J139" s="18">
        <v>1000</v>
      </c>
      <c r="K139" s="18">
        <v>1400</v>
      </c>
      <c r="L139" s="18">
        <v>0</v>
      </c>
      <c r="M139" s="18">
        <v>0</v>
      </c>
      <c r="N139" s="18">
        <v>0</v>
      </c>
      <c r="O139" s="18">
        <v>110</v>
      </c>
      <c r="P139" s="18">
        <v>480</v>
      </c>
      <c r="Q139" s="18">
        <f>#REF!/#REF!</f>
        <v>4.8</v>
      </c>
      <c r="R139" s="18"/>
      <c r="S139" s="18"/>
      <c r="T139" s="18"/>
      <c r="U139" s="18"/>
      <c r="V139" s="18">
        <v>1</v>
      </c>
      <c r="W139" s="18"/>
      <c r="X139" s="18"/>
      <c r="Y139" s="18"/>
      <c r="Z139" s="18">
        <v>91</v>
      </c>
      <c r="AA139" s="18">
        <v>280</v>
      </c>
      <c r="AB139" s="18"/>
      <c r="AC139" s="18"/>
      <c r="AD139" s="18"/>
      <c r="AE139" s="18">
        <v>600</v>
      </c>
      <c r="AF139" s="18">
        <v>900</v>
      </c>
      <c r="AG139" s="18" t="s">
        <v>41</v>
      </c>
      <c r="AH139" s="18" t="s">
        <v>592</v>
      </c>
      <c r="AI139" s="18" t="s">
        <v>41</v>
      </c>
      <c r="AJ139" s="18">
        <v>1</v>
      </c>
      <c r="AK139" s="18" t="s">
        <v>1527</v>
      </c>
      <c r="AL139" s="19" t="s">
        <v>41</v>
      </c>
    </row>
    <row r="140" spans="1:38">
      <c r="A140" s="17" t="s">
        <v>1182</v>
      </c>
      <c r="B140" s="18" t="s">
        <v>806</v>
      </c>
      <c r="C140" s="18">
        <v>2</v>
      </c>
      <c r="D140" s="18" t="s">
        <v>1183</v>
      </c>
      <c r="E140" s="18" t="s">
        <v>467</v>
      </c>
      <c r="F140" s="18" t="s">
        <v>41</v>
      </c>
      <c r="G140" s="18" t="s">
        <v>468</v>
      </c>
      <c r="H140" s="18">
        <v>14</v>
      </c>
      <c r="I140" s="18">
        <v>410</v>
      </c>
      <c r="J140" s="18">
        <v>8200</v>
      </c>
      <c r="K140" s="18">
        <v>14700</v>
      </c>
      <c r="L140" s="18">
        <v>0</v>
      </c>
      <c r="M140" s="18">
        <v>0</v>
      </c>
      <c r="N140" s="18">
        <v>0</v>
      </c>
      <c r="O140" s="18">
        <v>279</v>
      </c>
      <c r="P140" s="18">
        <v>1960</v>
      </c>
      <c r="Q140" s="18">
        <f>#REF!/#REF!</f>
        <v>4.7804878048780486</v>
      </c>
      <c r="R140" s="18"/>
      <c r="S140" s="18"/>
      <c r="T140" s="18">
        <v>1</v>
      </c>
      <c r="U140" s="18"/>
      <c r="V140" s="18"/>
      <c r="W140" s="18"/>
      <c r="X140" s="18"/>
      <c r="Y140" s="18"/>
      <c r="Z140" s="18">
        <v>150</v>
      </c>
      <c r="AA140" s="18">
        <v>400</v>
      </c>
      <c r="AB140" s="18"/>
      <c r="AC140" s="18">
        <v>800</v>
      </c>
      <c r="AD140" s="18">
        <v>800</v>
      </c>
      <c r="AE140" s="18">
        <v>500</v>
      </c>
      <c r="AF140" s="18">
        <v>750</v>
      </c>
      <c r="AG140" s="18" t="s">
        <v>41</v>
      </c>
      <c r="AH140" s="18" t="s">
        <v>168</v>
      </c>
      <c r="AI140" s="18" t="s">
        <v>41</v>
      </c>
      <c r="AJ140" s="18">
        <v>1</v>
      </c>
      <c r="AK140" s="18" t="s">
        <v>1649</v>
      </c>
      <c r="AL140" s="19" t="s">
        <v>41</v>
      </c>
    </row>
    <row r="141" spans="1:38">
      <c r="A141" s="17" t="s">
        <v>649</v>
      </c>
      <c r="B141" s="18" t="s">
        <v>38</v>
      </c>
      <c r="C141" s="18">
        <v>1</v>
      </c>
      <c r="D141" s="18" t="s">
        <v>650</v>
      </c>
      <c r="E141" s="18" t="s">
        <v>651</v>
      </c>
      <c r="F141" s="18" t="s">
        <v>41</v>
      </c>
      <c r="G141" s="18" t="s">
        <v>652</v>
      </c>
      <c r="H141" s="18">
        <v>19</v>
      </c>
      <c r="I141" s="18">
        <v>290</v>
      </c>
      <c r="J141" s="18">
        <v>6500</v>
      </c>
      <c r="K141" s="18">
        <v>14800</v>
      </c>
      <c r="L141" s="18">
        <v>0</v>
      </c>
      <c r="M141" s="18">
        <v>0</v>
      </c>
      <c r="N141" s="18">
        <v>0</v>
      </c>
      <c r="O141" s="18">
        <v>271</v>
      </c>
      <c r="P141" s="18">
        <v>1380</v>
      </c>
      <c r="Q141" s="18">
        <f>#REF!/#REF!</f>
        <v>4.7586206896551726</v>
      </c>
      <c r="R141" s="18">
        <v>1</v>
      </c>
      <c r="S141" s="18"/>
      <c r="T141" s="18">
        <v>1</v>
      </c>
      <c r="U141" s="18"/>
      <c r="V141" s="18"/>
      <c r="W141" s="18"/>
      <c r="X141" s="18"/>
      <c r="Y141" s="18"/>
      <c r="Z141" s="18">
        <v>114</v>
      </c>
      <c r="AA141" s="18">
        <v>600</v>
      </c>
      <c r="AB141" s="18"/>
      <c r="AC141" s="18">
        <v>535</v>
      </c>
      <c r="AD141" s="18"/>
      <c r="AE141" s="18">
        <v>535</v>
      </c>
      <c r="AF141" s="18">
        <v>803</v>
      </c>
      <c r="AG141" s="18" t="s">
        <v>41</v>
      </c>
      <c r="AH141" s="18" t="s">
        <v>168</v>
      </c>
      <c r="AI141" s="18" t="s">
        <v>41</v>
      </c>
      <c r="AJ141" s="18">
        <v>1</v>
      </c>
      <c r="AK141" s="18" t="s">
        <v>1429</v>
      </c>
      <c r="AL141" s="19" t="s">
        <v>41</v>
      </c>
    </row>
    <row r="142" spans="1:38">
      <c r="A142" s="17" t="s">
        <v>984</v>
      </c>
      <c r="B142" s="18" t="s">
        <v>806</v>
      </c>
      <c r="C142" s="18">
        <v>2</v>
      </c>
      <c r="D142" s="18" t="s">
        <v>985</v>
      </c>
      <c r="E142" s="18" t="s">
        <v>986</v>
      </c>
      <c r="F142" s="18" t="s">
        <v>41</v>
      </c>
      <c r="G142" s="18" t="s">
        <v>987</v>
      </c>
      <c r="H142" s="18">
        <v>35</v>
      </c>
      <c r="I142" s="18">
        <v>1650</v>
      </c>
      <c r="J142" s="18">
        <v>22000</v>
      </c>
      <c r="K142" s="18">
        <v>26100</v>
      </c>
      <c r="L142" s="18">
        <v>0</v>
      </c>
      <c r="M142" s="18">
        <v>0</v>
      </c>
      <c r="N142" s="18">
        <v>0</v>
      </c>
      <c r="O142" s="18">
        <v>41</v>
      </c>
      <c r="P142" s="18">
        <v>7800</v>
      </c>
      <c r="Q142" s="18">
        <f>#REF!/#REF!</f>
        <v>4.7272727272727275</v>
      </c>
      <c r="R142" s="18"/>
      <c r="S142" s="18"/>
      <c r="T142" s="18"/>
      <c r="U142" s="18"/>
      <c r="V142" s="18"/>
      <c r="W142" s="18"/>
      <c r="X142" s="18"/>
      <c r="Y142" s="18"/>
      <c r="Z142" s="18">
        <v>300</v>
      </c>
      <c r="AA142" s="18">
        <v>650</v>
      </c>
      <c r="AB142" s="18"/>
      <c r="AC142" s="18"/>
      <c r="AD142" s="18"/>
      <c r="AE142" s="18">
        <v>395</v>
      </c>
      <c r="AF142" s="18">
        <v>593</v>
      </c>
      <c r="AG142" s="18" t="s">
        <v>41</v>
      </c>
      <c r="AH142" s="18" t="s">
        <v>124</v>
      </c>
      <c r="AI142" s="18" t="s">
        <v>41</v>
      </c>
      <c r="AJ142" s="18">
        <v>1</v>
      </c>
      <c r="AK142" s="18" t="s">
        <v>1556</v>
      </c>
      <c r="AL142" s="19" t="s">
        <v>41</v>
      </c>
    </row>
    <row r="143" spans="1:38">
      <c r="A143" s="17" t="s">
        <v>1117</v>
      </c>
      <c r="B143" s="18" t="s">
        <v>806</v>
      </c>
      <c r="C143" s="18">
        <v>1</v>
      </c>
      <c r="D143" s="18" t="s">
        <v>1118</v>
      </c>
      <c r="E143" s="18" t="s">
        <v>638</v>
      </c>
      <c r="F143" s="18" t="s">
        <v>41</v>
      </c>
      <c r="G143" s="18" t="s">
        <v>639</v>
      </c>
      <c r="H143" s="18">
        <v>14</v>
      </c>
      <c r="I143" s="18">
        <v>200</v>
      </c>
      <c r="J143" s="18">
        <v>8200</v>
      </c>
      <c r="K143" s="18">
        <v>7000</v>
      </c>
      <c r="L143" s="18">
        <v>0</v>
      </c>
      <c r="M143" s="18">
        <v>0</v>
      </c>
      <c r="N143" s="18">
        <v>0</v>
      </c>
      <c r="O143" s="18">
        <v>240</v>
      </c>
      <c r="P143" s="18">
        <v>940</v>
      </c>
      <c r="Q143" s="18">
        <f>#REF!/#REF!</f>
        <v>4.7</v>
      </c>
      <c r="R143" s="18">
        <v>1</v>
      </c>
      <c r="S143" s="18"/>
      <c r="T143" s="18">
        <v>1</v>
      </c>
      <c r="U143" s="18"/>
      <c r="V143" s="18"/>
      <c r="W143" s="18"/>
      <c r="X143" s="18"/>
      <c r="Y143" s="18"/>
      <c r="Z143" s="18">
        <v>150</v>
      </c>
      <c r="AA143" s="18">
        <v>1280</v>
      </c>
      <c r="AB143" s="18"/>
      <c r="AC143" s="18"/>
      <c r="AD143" s="18"/>
      <c r="AE143" s="18">
        <v>455</v>
      </c>
      <c r="AF143" s="18">
        <v>683</v>
      </c>
      <c r="AG143" s="18" t="s">
        <v>41</v>
      </c>
      <c r="AH143" s="18" t="s">
        <v>587</v>
      </c>
      <c r="AI143" s="18" t="s">
        <v>41</v>
      </c>
      <c r="AJ143" s="18">
        <v>1</v>
      </c>
      <c r="AK143" s="18" t="s">
        <v>1618</v>
      </c>
      <c r="AL143" s="19" t="s">
        <v>41</v>
      </c>
    </row>
    <row r="144" spans="1:38">
      <c r="A144" s="17" t="s">
        <v>1026</v>
      </c>
      <c r="B144" s="18" t="s">
        <v>806</v>
      </c>
      <c r="C144" s="18">
        <v>1</v>
      </c>
      <c r="D144" s="18" t="s">
        <v>461</v>
      </c>
      <c r="E144" s="18" t="s">
        <v>462</v>
      </c>
      <c r="F144" s="18" t="s">
        <v>41</v>
      </c>
      <c r="G144" s="18" t="s">
        <v>463</v>
      </c>
      <c r="H144" s="18">
        <v>48</v>
      </c>
      <c r="I144" s="18">
        <v>620</v>
      </c>
      <c r="J144" s="18">
        <v>1300</v>
      </c>
      <c r="K144" s="18">
        <v>6500</v>
      </c>
      <c r="L144" s="18">
        <v>0</v>
      </c>
      <c r="M144" s="18">
        <v>0</v>
      </c>
      <c r="N144" s="18">
        <v>100</v>
      </c>
      <c r="O144" s="18">
        <v>0</v>
      </c>
      <c r="P144" s="18">
        <v>2900</v>
      </c>
      <c r="Q144" s="18">
        <f>#REF!/#REF!</f>
        <v>4.67741935483871</v>
      </c>
      <c r="R144" s="18"/>
      <c r="S144" s="18"/>
      <c r="T144" s="18"/>
      <c r="U144" s="18"/>
      <c r="V144" s="18"/>
      <c r="W144" s="18"/>
      <c r="X144" s="18"/>
      <c r="Y144" s="18">
        <v>1</v>
      </c>
      <c r="Z144" s="18">
        <v>0</v>
      </c>
      <c r="AA144" s="18">
        <v>0</v>
      </c>
      <c r="AB144" s="18"/>
      <c r="AC144" s="18"/>
      <c r="AD144" s="18"/>
      <c r="AE144" s="18">
        <v>290</v>
      </c>
      <c r="AF144" s="18">
        <v>435</v>
      </c>
      <c r="AG144" s="18" t="s">
        <v>41</v>
      </c>
      <c r="AH144" s="18" t="s">
        <v>41</v>
      </c>
      <c r="AI144" s="18" t="s">
        <v>1027</v>
      </c>
      <c r="AJ144" s="18">
        <v>1</v>
      </c>
      <c r="AK144" s="18" t="s">
        <v>1573</v>
      </c>
      <c r="AL144" s="19" t="s">
        <v>41</v>
      </c>
    </row>
    <row r="145" spans="1:38">
      <c r="A145" s="17" t="s">
        <v>84</v>
      </c>
      <c r="B145" s="18" t="s">
        <v>38</v>
      </c>
      <c r="C145" s="18">
        <v>1</v>
      </c>
      <c r="D145" s="18" t="s">
        <v>85</v>
      </c>
      <c r="E145" s="18" t="s">
        <v>86</v>
      </c>
      <c r="F145" s="18" t="s">
        <v>41</v>
      </c>
      <c r="G145" s="18" t="s">
        <v>87</v>
      </c>
      <c r="H145" s="18">
        <v>24</v>
      </c>
      <c r="I145" s="18">
        <v>230</v>
      </c>
      <c r="J145" s="18">
        <v>4500</v>
      </c>
      <c r="K145" s="18">
        <v>3560</v>
      </c>
      <c r="L145" s="18">
        <v>0</v>
      </c>
      <c r="M145" s="18">
        <v>0</v>
      </c>
      <c r="N145" s="18">
        <v>0</v>
      </c>
      <c r="O145" s="18">
        <v>89</v>
      </c>
      <c r="P145" s="18">
        <v>1070</v>
      </c>
      <c r="Q145" s="18">
        <f>#REF!/#REF!</f>
        <v>4.6521739130434785</v>
      </c>
      <c r="R145" s="18"/>
      <c r="S145" s="18"/>
      <c r="T145" s="18"/>
      <c r="U145" s="18">
        <v>1</v>
      </c>
      <c r="V145" s="18"/>
      <c r="W145" s="18"/>
      <c r="X145" s="18"/>
      <c r="Y145" s="18"/>
      <c r="Z145" s="18">
        <v>85</v>
      </c>
      <c r="AA145" s="18">
        <v>700</v>
      </c>
      <c r="AB145" s="18"/>
      <c r="AC145" s="18">
        <v>350</v>
      </c>
      <c r="AD145" s="18"/>
      <c r="AE145" s="18">
        <v>509</v>
      </c>
      <c r="AF145" s="18">
        <v>800</v>
      </c>
      <c r="AG145" s="18" t="s">
        <v>41</v>
      </c>
      <c r="AH145" s="18" t="s">
        <v>88</v>
      </c>
      <c r="AI145" s="18" t="s">
        <v>41</v>
      </c>
      <c r="AJ145" s="18">
        <v>1</v>
      </c>
      <c r="AK145" s="18" t="s">
        <v>1282</v>
      </c>
      <c r="AL145" s="19" t="s">
        <v>41</v>
      </c>
    </row>
    <row r="146" spans="1:38">
      <c r="A146" s="17" t="s">
        <v>1126</v>
      </c>
      <c r="B146" s="18" t="s">
        <v>806</v>
      </c>
      <c r="C146" s="18">
        <v>1</v>
      </c>
      <c r="D146" s="18" t="s">
        <v>1127</v>
      </c>
      <c r="E146" s="18" t="s">
        <v>651</v>
      </c>
      <c r="F146" s="18" t="s">
        <v>41</v>
      </c>
      <c r="G146" s="18" t="s">
        <v>652</v>
      </c>
      <c r="H146" s="18">
        <v>16</v>
      </c>
      <c r="I146" s="18">
        <v>230</v>
      </c>
      <c r="J146" s="18">
        <v>5500</v>
      </c>
      <c r="K146" s="18">
        <v>10700</v>
      </c>
      <c r="L146" s="18">
        <v>0</v>
      </c>
      <c r="M146" s="18">
        <v>0</v>
      </c>
      <c r="N146" s="18">
        <v>0</v>
      </c>
      <c r="O146" s="18">
        <v>266</v>
      </c>
      <c r="P146" s="18">
        <v>1070</v>
      </c>
      <c r="Q146" s="18">
        <f>#REF!/#REF!</f>
        <v>4.6521739130434785</v>
      </c>
      <c r="R146" s="18">
        <v>1</v>
      </c>
      <c r="S146" s="18"/>
      <c r="T146" s="18">
        <v>1</v>
      </c>
      <c r="U146" s="18"/>
      <c r="V146" s="18"/>
      <c r="W146" s="18"/>
      <c r="X146" s="18"/>
      <c r="Y146" s="18"/>
      <c r="Z146" s="18">
        <v>68</v>
      </c>
      <c r="AA146" s="18">
        <v>600</v>
      </c>
      <c r="AB146" s="18"/>
      <c r="AC146" s="18">
        <v>535</v>
      </c>
      <c r="AD146" s="18"/>
      <c r="AE146" s="18">
        <v>535</v>
      </c>
      <c r="AF146" s="18">
        <v>803</v>
      </c>
      <c r="AG146" s="18" t="s">
        <v>41</v>
      </c>
      <c r="AH146" s="18" t="s">
        <v>168</v>
      </c>
      <c r="AI146" s="18" t="s">
        <v>41</v>
      </c>
      <c r="AJ146" s="18">
        <v>1</v>
      </c>
      <c r="AK146" s="18" t="s">
        <v>1623</v>
      </c>
      <c r="AL146" s="19" t="s">
        <v>41</v>
      </c>
    </row>
    <row r="147" spans="1:38">
      <c r="A147" s="17" t="s">
        <v>1181</v>
      </c>
      <c r="B147" s="18" t="s">
        <v>806</v>
      </c>
      <c r="C147" s="18">
        <v>1</v>
      </c>
      <c r="D147" s="18" t="s">
        <v>744</v>
      </c>
      <c r="E147" s="18" t="s">
        <v>745</v>
      </c>
      <c r="F147" s="18" t="s">
        <v>41</v>
      </c>
      <c r="G147" s="18" t="s">
        <v>698</v>
      </c>
      <c r="H147" s="18">
        <v>24</v>
      </c>
      <c r="I147" s="18">
        <v>85</v>
      </c>
      <c r="J147" s="18">
        <v>250</v>
      </c>
      <c r="K147" s="18">
        <v>2100</v>
      </c>
      <c r="L147" s="18">
        <v>0</v>
      </c>
      <c r="M147" s="18">
        <v>0</v>
      </c>
      <c r="N147" s="18">
        <v>0</v>
      </c>
      <c r="O147" s="18">
        <v>0</v>
      </c>
      <c r="P147" s="18">
        <v>395</v>
      </c>
      <c r="Q147" s="18">
        <f>#REF!/#REF!</f>
        <v>4.6470588235294121</v>
      </c>
      <c r="R147" s="18"/>
      <c r="S147" s="18"/>
      <c r="T147" s="18"/>
      <c r="U147" s="18"/>
      <c r="V147" s="18"/>
      <c r="W147" s="18"/>
      <c r="X147" s="18"/>
      <c r="Y147" s="18">
        <v>1</v>
      </c>
      <c r="Z147" s="18">
        <v>0</v>
      </c>
      <c r="AA147" s="18">
        <v>0</v>
      </c>
      <c r="AB147" s="18"/>
      <c r="AC147" s="18"/>
      <c r="AD147" s="18"/>
      <c r="AE147" s="18">
        <v>130</v>
      </c>
      <c r="AF147" s="18">
        <v>195</v>
      </c>
      <c r="AG147" s="18" t="s">
        <v>41</v>
      </c>
      <c r="AH147" s="18" t="s">
        <v>41</v>
      </c>
      <c r="AI147" s="18" t="s">
        <v>41</v>
      </c>
      <c r="AJ147" s="18">
        <v>1</v>
      </c>
      <c r="AK147" s="18" t="s">
        <v>1648</v>
      </c>
      <c r="AL147" s="19" t="s">
        <v>41</v>
      </c>
    </row>
    <row r="148" spans="1:38">
      <c r="A148" s="17" t="s">
        <v>657</v>
      </c>
      <c r="B148" s="18" t="s">
        <v>38</v>
      </c>
      <c r="C148" s="18">
        <v>1</v>
      </c>
      <c r="D148" s="18" t="s">
        <v>658</v>
      </c>
      <c r="E148" s="18" t="s">
        <v>659</v>
      </c>
      <c r="F148" s="18" t="s">
        <v>41</v>
      </c>
      <c r="G148" s="18" t="s">
        <v>660</v>
      </c>
      <c r="H148" s="18">
        <v>29</v>
      </c>
      <c r="I148" s="18">
        <v>125</v>
      </c>
      <c r="J148" s="18">
        <v>7000</v>
      </c>
      <c r="K148" s="18">
        <v>9050</v>
      </c>
      <c r="L148" s="18">
        <v>0</v>
      </c>
      <c r="M148" s="18">
        <v>0</v>
      </c>
      <c r="N148" s="18">
        <v>0</v>
      </c>
      <c r="O148" s="18">
        <v>338</v>
      </c>
      <c r="P148" s="18">
        <v>580</v>
      </c>
      <c r="Q148" s="18">
        <f>#REF!/#REF!</f>
        <v>4.6399999999999997</v>
      </c>
      <c r="R148" s="18">
        <v>1</v>
      </c>
      <c r="S148" s="18"/>
      <c r="T148" s="18">
        <v>1</v>
      </c>
      <c r="U148" s="18"/>
      <c r="V148" s="18"/>
      <c r="W148" s="18"/>
      <c r="X148" s="18"/>
      <c r="Y148" s="18"/>
      <c r="Z148" s="18">
        <v>0</v>
      </c>
      <c r="AA148" s="18">
        <v>0</v>
      </c>
      <c r="AB148" s="18"/>
      <c r="AC148" s="18">
        <v>900</v>
      </c>
      <c r="AD148" s="18">
        <v>2250</v>
      </c>
      <c r="AE148" s="18">
        <v>1100</v>
      </c>
      <c r="AF148" s="18">
        <v>1650</v>
      </c>
      <c r="AG148" s="18" t="s">
        <v>48</v>
      </c>
      <c r="AH148" s="18" t="s">
        <v>41</v>
      </c>
      <c r="AI148" s="18" t="s">
        <v>41</v>
      </c>
      <c r="AJ148" s="18">
        <v>1</v>
      </c>
      <c r="AK148" s="18" t="s">
        <v>1431</v>
      </c>
      <c r="AL148" s="19" t="s">
        <v>41</v>
      </c>
    </row>
    <row r="149" spans="1:38">
      <c r="A149" s="17" t="s">
        <v>739</v>
      </c>
      <c r="B149" s="18" t="s">
        <v>38</v>
      </c>
      <c r="C149" s="18">
        <v>1</v>
      </c>
      <c r="D149" s="18" t="s">
        <v>740</v>
      </c>
      <c r="E149" s="18" t="s">
        <v>741</v>
      </c>
      <c r="F149" s="18" t="s">
        <v>41</v>
      </c>
      <c r="G149" s="18" t="s">
        <v>742</v>
      </c>
      <c r="H149" s="18">
        <v>16</v>
      </c>
      <c r="I149" s="18">
        <v>145</v>
      </c>
      <c r="J149" s="18">
        <v>4200</v>
      </c>
      <c r="K149" s="18">
        <v>4780</v>
      </c>
      <c r="L149" s="18">
        <v>0</v>
      </c>
      <c r="M149" s="18">
        <v>0</v>
      </c>
      <c r="N149" s="18">
        <v>0</v>
      </c>
      <c r="O149" s="18">
        <v>255</v>
      </c>
      <c r="P149" s="18">
        <v>670</v>
      </c>
      <c r="Q149" s="18">
        <f>#REF!/#REF!</f>
        <v>4.6206896551724137</v>
      </c>
      <c r="R149" s="18"/>
      <c r="S149" s="18"/>
      <c r="T149" s="18">
        <v>1</v>
      </c>
      <c r="U149" s="18"/>
      <c r="V149" s="18"/>
      <c r="W149" s="18"/>
      <c r="X149" s="18"/>
      <c r="Y149" s="18"/>
      <c r="Z149" s="18">
        <v>88</v>
      </c>
      <c r="AA149" s="18">
        <v>1280</v>
      </c>
      <c r="AB149" s="18"/>
      <c r="AC149" s="18"/>
      <c r="AD149" s="18"/>
      <c r="AE149" s="18">
        <v>195</v>
      </c>
      <c r="AF149" s="18">
        <v>293</v>
      </c>
      <c r="AG149" s="18" t="s">
        <v>41</v>
      </c>
      <c r="AH149" s="18" t="s">
        <v>587</v>
      </c>
      <c r="AI149" s="18" t="s">
        <v>41</v>
      </c>
      <c r="AJ149" s="18">
        <v>1</v>
      </c>
      <c r="AK149" s="18" t="s">
        <v>1452</v>
      </c>
      <c r="AL149" s="19" t="s">
        <v>41</v>
      </c>
    </row>
    <row r="150" spans="1:38">
      <c r="A150" s="17" t="s">
        <v>408</v>
      </c>
      <c r="B150" s="18" t="s">
        <v>38</v>
      </c>
      <c r="C150" s="18">
        <v>2</v>
      </c>
      <c r="D150" s="18" t="s">
        <v>409</v>
      </c>
      <c r="E150" s="18" t="s">
        <v>410</v>
      </c>
      <c r="F150" s="18" t="s">
        <v>41</v>
      </c>
      <c r="G150" s="18" t="s">
        <v>411</v>
      </c>
      <c r="H150" s="18">
        <v>18</v>
      </c>
      <c r="I150" s="18">
        <v>230</v>
      </c>
      <c r="J150" s="18">
        <v>3700</v>
      </c>
      <c r="K150" s="18">
        <v>6700</v>
      </c>
      <c r="L150" s="18">
        <v>0</v>
      </c>
      <c r="M150" s="18">
        <v>0</v>
      </c>
      <c r="N150" s="18">
        <v>0</v>
      </c>
      <c r="O150" s="18">
        <v>71</v>
      </c>
      <c r="P150" s="18">
        <v>1060</v>
      </c>
      <c r="Q150" s="18">
        <f>#REF!/#REF!</f>
        <v>4.6086956521739131</v>
      </c>
      <c r="R150" s="18"/>
      <c r="S150" s="18"/>
      <c r="T150" s="18"/>
      <c r="U150" s="18"/>
      <c r="V150" s="18"/>
      <c r="W150" s="18"/>
      <c r="X150" s="18"/>
      <c r="Y150" s="18"/>
      <c r="Z150" s="18">
        <v>88</v>
      </c>
      <c r="AA150" s="18">
        <v>220</v>
      </c>
      <c r="AB150" s="18"/>
      <c r="AC150" s="18"/>
      <c r="AD150" s="18"/>
      <c r="AE150" s="18">
        <v>494</v>
      </c>
      <c r="AF150" s="18">
        <v>741</v>
      </c>
      <c r="AG150" s="18" t="s">
        <v>109</v>
      </c>
      <c r="AH150" s="18" t="s">
        <v>124</v>
      </c>
      <c r="AI150" s="18" t="s">
        <v>41</v>
      </c>
      <c r="AJ150" s="18">
        <v>1</v>
      </c>
      <c r="AK150" s="18" t="s">
        <v>1362</v>
      </c>
      <c r="AL150" s="19" t="s">
        <v>41</v>
      </c>
    </row>
    <row r="151" spans="1:38">
      <c r="A151" s="17" t="s">
        <v>485</v>
      </c>
      <c r="B151" s="18" t="s">
        <v>38</v>
      </c>
      <c r="C151" s="18">
        <v>3</v>
      </c>
      <c r="D151" s="18" t="s">
        <v>486</v>
      </c>
      <c r="E151" s="18" t="s">
        <v>487</v>
      </c>
      <c r="F151" s="18" t="s">
        <v>41</v>
      </c>
      <c r="G151" s="18" t="s">
        <v>488</v>
      </c>
      <c r="H151" s="18">
        <v>24</v>
      </c>
      <c r="I151" s="18">
        <v>1150</v>
      </c>
      <c r="J151" s="18">
        <v>23000</v>
      </c>
      <c r="K151" s="18">
        <v>32000</v>
      </c>
      <c r="L151" s="18">
        <v>0</v>
      </c>
      <c r="M151" s="18">
        <v>0</v>
      </c>
      <c r="N151" s="18">
        <v>0</v>
      </c>
      <c r="O151" s="18">
        <v>50</v>
      </c>
      <c r="P151" s="18">
        <v>5300</v>
      </c>
      <c r="Q151" s="18">
        <f>#REF!/#REF!</f>
        <v>4.6086956521739131</v>
      </c>
      <c r="R151" s="18"/>
      <c r="S151" s="18"/>
      <c r="T151" s="18"/>
      <c r="U151" s="18">
        <v>1</v>
      </c>
      <c r="V151" s="18"/>
      <c r="W151" s="18"/>
      <c r="X151" s="18"/>
      <c r="Y151" s="18"/>
      <c r="Z151" s="18">
        <v>318</v>
      </c>
      <c r="AA151" s="18">
        <v>575</v>
      </c>
      <c r="AB151" s="18"/>
      <c r="AC151" s="18">
        <v>550</v>
      </c>
      <c r="AD151" s="18"/>
      <c r="AE151" s="18">
        <v>620</v>
      </c>
      <c r="AF151" s="18">
        <v>930</v>
      </c>
      <c r="AG151" s="18" t="s">
        <v>41</v>
      </c>
      <c r="AH151" s="18" t="s">
        <v>489</v>
      </c>
      <c r="AI151" s="18" t="s">
        <v>41</v>
      </c>
      <c r="AJ151" s="18">
        <v>1</v>
      </c>
      <c r="AK151" s="18" t="s">
        <v>1386</v>
      </c>
      <c r="AL151" s="19" t="s">
        <v>41</v>
      </c>
    </row>
    <row r="152" spans="1:38">
      <c r="A152" s="17" t="s">
        <v>1159</v>
      </c>
      <c r="B152" s="18" t="s">
        <v>806</v>
      </c>
      <c r="C152" s="18">
        <v>2</v>
      </c>
      <c r="D152" s="18" t="s">
        <v>1160</v>
      </c>
      <c r="E152" s="18" t="s">
        <v>146</v>
      </c>
      <c r="F152" s="18" t="s">
        <v>41</v>
      </c>
      <c r="G152" s="18" t="s">
        <v>147</v>
      </c>
      <c r="H152" s="18">
        <v>38</v>
      </c>
      <c r="I152" s="18">
        <v>75</v>
      </c>
      <c r="J152" s="18">
        <v>1550</v>
      </c>
      <c r="K152" s="18">
        <v>5440</v>
      </c>
      <c r="L152" s="18">
        <v>0</v>
      </c>
      <c r="M152" s="18">
        <v>0</v>
      </c>
      <c r="N152" s="18">
        <v>0</v>
      </c>
      <c r="O152" s="18">
        <v>39</v>
      </c>
      <c r="P152" s="18">
        <v>345</v>
      </c>
      <c r="Q152" s="18">
        <f>#REF!/#REF!</f>
        <v>4.5999999999999996</v>
      </c>
      <c r="R152" s="18"/>
      <c r="S152" s="18"/>
      <c r="T152" s="18"/>
      <c r="U152" s="18"/>
      <c r="V152" s="18"/>
      <c r="W152" s="18"/>
      <c r="X152" s="18"/>
      <c r="Y152" s="18"/>
      <c r="Z152" s="18">
        <v>0</v>
      </c>
      <c r="AA152" s="18">
        <v>0</v>
      </c>
      <c r="AB152" s="18">
        <v>450</v>
      </c>
      <c r="AC152" s="18"/>
      <c r="AD152" s="18"/>
      <c r="AE152" s="18">
        <v>250</v>
      </c>
      <c r="AF152" s="18">
        <v>375</v>
      </c>
      <c r="AG152" s="18" t="s">
        <v>148</v>
      </c>
      <c r="AH152" s="18" t="s">
        <v>41</v>
      </c>
      <c r="AI152" s="18" t="s">
        <v>41</v>
      </c>
      <c r="AJ152" s="18">
        <v>1</v>
      </c>
      <c r="AK152" s="18" t="s">
        <v>1638</v>
      </c>
      <c r="AL152" s="19" t="s">
        <v>41</v>
      </c>
    </row>
    <row r="153" spans="1:38">
      <c r="A153" s="17" t="s">
        <v>140</v>
      </c>
      <c r="B153" s="18" t="s">
        <v>38</v>
      </c>
      <c r="C153" s="18">
        <v>1</v>
      </c>
      <c r="D153" s="18" t="s">
        <v>141</v>
      </c>
      <c r="E153" s="18" t="s">
        <v>142</v>
      </c>
      <c r="F153" s="18" t="s">
        <v>41</v>
      </c>
      <c r="G153" s="18" t="s">
        <v>143</v>
      </c>
      <c r="H153" s="18">
        <v>31</v>
      </c>
      <c r="I153" s="18">
        <v>135</v>
      </c>
      <c r="J153" s="18">
        <v>2200</v>
      </c>
      <c r="K153" s="18">
        <v>3000</v>
      </c>
      <c r="L153" s="18">
        <v>0</v>
      </c>
      <c r="M153" s="18">
        <v>0</v>
      </c>
      <c r="N153" s="18">
        <v>0</v>
      </c>
      <c r="O153" s="18">
        <v>54</v>
      </c>
      <c r="P153" s="18">
        <v>620</v>
      </c>
      <c r="Q153" s="18">
        <f>#REF!/#REF!</f>
        <v>4.5925925925925926</v>
      </c>
      <c r="R153" s="18"/>
      <c r="S153" s="18"/>
      <c r="T153" s="18"/>
      <c r="U153" s="18"/>
      <c r="V153" s="18"/>
      <c r="W153" s="18"/>
      <c r="X153" s="18"/>
      <c r="Y153" s="18"/>
      <c r="Z153" s="18">
        <v>42</v>
      </c>
      <c r="AA153" s="18">
        <v>710</v>
      </c>
      <c r="AB153" s="18"/>
      <c r="AC153" s="18"/>
      <c r="AD153" s="18"/>
      <c r="AE153" s="18">
        <v>364</v>
      </c>
      <c r="AF153" s="18">
        <v>546</v>
      </c>
      <c r="AG153" s="18" t="s">
        <v>41</v>
      </c>
      <c r="AH153" s="18" t="s">
        <v>124</v>
      </c>
      <c r="AI153" s="18" t="s">
        <v>41</v>
      </c>
      <c r="AJ153" s="18">
        <v>1</v>
      </c>
      <c r="AK153" s="18" t="s">
        <v>1296</v>
      </c>
      <c r="AL153" s="19" t="s">
        <v>41</v>
      </c>
    </row>
    <row r="154" spans="1:38">
      <c r="A154" s="17" t="s">
        <v>1134</v>
      </c>
      <c r="B154" s="18" t="s">
        <v>806</v>
      </c>
      <c r="C154" s="18">
        <v>1</v>
      </c>
      <c r="D154" s="18" t="s">
        <v>1135</v>
      </c>
      <c r="E154" s="18" t="s">
        <v>741</v>
      </c>
      <c r="F154" s="18" t="s">
        <v>41</v>
      </c>
      <c r="G154" s="18" t="s">
        <v>742</v>
      </c>
      <c r="H154" s="18">
        <v>15</v>
      </c>
      <c r="I154" s="18">
        <v>150</v>
      </c>
      <c r="J154" s="18">
        <v>4600</v>
      </c>
      <c r="K154" s="18">
        <v>5050</v>
      </c>
      <c r="L154" s="18">
        <v>0</v>
      </c>
      <c r="M154" s="18">
        <v>0</v>
      </c>
      <c r="N154" s="18">
        <v>0</v>
      </c>
      <c r="O154" s="18">
        <v>234</v>
      </c>
      <c r="P154" s="18">
        <v>680</v>
      </c>
      <c r="Q154" s="18">
        <f>#REF!/#REF!</f>
        <v>4.5333333333333332</v>
      </c>
      <c r="R154" s="18"/>
      <c r="S154" s="18"/>
      <c r="T154" s="18">
        <v>1</v>
      </c>
      <c r="U154" s="18"/>
      <c r="V154" s="18"/>
      <c r="W154" s="18"/>
      <c r="X154" s="18"/>
      <c r="Y154" s="18"/>
      <c r="Z154" s="18">
        <v>93</v>
      </c>
      <c r="AA154" s="18">
        <v>1280</v>
      </c>
      <c r="AB154" s="18"/>
      <c r="AC154" s="18"/>
      <c r="AD154" s="18"/>
      <c r="AE154" s="18">
        <v>169</v>
      </c>
      <c r="AF154" s="18">
        <v>254</v>
      </c>
      <c r="AG154" s="18" t="s">
        <v>41</v>
      </c>
      <c r="AH154" s="18" t="s">
        <v>587</v>
      </c>
      <c r="AI154" s="18" t="s">
        <v>41</v>
      </c>
      <c r="AJ154" s="18">
        <v>1</v>
      </c>
      <c r="AK154" s="18" t="s">
        <v>1627</v>
      </c>
      <c r="AL154" s="19" t="s">
        <v>41</v>
      </c>
    </row>
    <row r="155" spans="1:38">
      <c r="A155" s="17" t="s">
        <v>548</v>
      </c>
      <c r="B155" s="18" t="s">
        <v>38</v>
      </c>
      <c r="C155" s="18">
        <v>2</v>
      </c>
      <c r="D155" s="18" t="s">
        <v>549</v>
      </c>
      <c r="E155" s="18" t="s">
        <v>550</v>
      </c>
      <c r="F155" s="18" t="s">
        <v>41</v>
      </c>
      <c r="G155" s="18" t="s">
        <v>551</v>
      </c>
      <c r="H155" s="18">
        <v>71</v>
      </c>
      <c r="I155" s="18">
        <v>620</v>
      </c>
      <c r="J155" s="18">
        <v>7700</v>
      </c>
      <c r="K155" s="18">
        <v>14900</v>
      </c>
      <c r="L155" s="18">
        <v>0</v>
      </c>
      <c r="M155" s="18">
        <v>0</v>
      </c>
      <c r="N155" s="18">
        <v>0</v>
      </c>
      <c r="O155" s="18">
        <v>0</v>
      </c>
      <c r="P155" s="18">
        <v>2800</v>
      </c>
      <c r="Q155" s="18">
        <f>#REF!/#REF!</f>
        <v>4.5161290322580649</v>
      </c>
      <c r="R155" s="18"/>
      <c r="S155" s="18"/>
      <c r="T155" s="18"/>
      <c r="U155" s="18"/>
      <c r="V155" s="18"/>
      <c r="W155" s="18"/>
      <c r="X155" s="18"/>
      <c r="Y155" s="18">
        <v>1</v>
      </c>
      <c r="Z155" s="18">
        <v>0</v>
      </c>
      <c r="AA155" s="18">
        <v>0</v>
      </c>
      <c r="AB155" s="18"/>
      <c r="AC155" s="18"/>
      <c r="AD155" s="18"/>
      <c r="AE155" s="18">
        <v>273</v>
      </c>
      <c r="AF155" s="18">
        <v>410</v>
      </c>
      <c r="AG155" s="18" t="s">
        <v>41</v>
      </c>
      <c r="AH155" s="18" t="s">
        <v>41</v>
      </c>
      <c r="AI155" s="18" t="s">
        <v>41</v>
      </c>
      <c r="AJ155" s="18">
        <v>1</v>
      </c>
      <c r="AK155" s="18" t="s">
        <v>1404</v>
      </c>
      <c r="AL155" s="19" t="s">
        <v>41</v>
      </c>
    </row>
    <row r="156" spans="1:38">
      <c r="A156" s="17" t="s">
        <v>763</v>
      </c>
      <c r="B156" s="18" t="s">
        <v>38</v>
      </c>
      <c r="C156" s="18">
        <v>2</v>
      </c>
      <c r="D156" s="18" t="s">
        <v>764</v>
      </c>
      <c r="E156" s="18" t="s">
        <v>550</v>
      </c>
      <c r="F156" s="18" t="s">
        <v>41</v>
      </c>
      <c r="G156" s="18" t="s">
        <v>551</v>
      </c>
      <c r="H156" s="18">
        <v>68</v>
      </c>
      <c r="I156" s="18">
        <v>620</v>
      </c>
      <c r="J156" s="18">
        <v>7700</v>
      </c>
      <c r="K156" s="18">
        <v>14900</v>
      </c>
      <c r="L156" s="18">
        <v>0</v>
      </c>
      <c r="M156" s="18">
        <v>0</v>
      </c>
      <c r="N156" s="18">
        <v>0</v>
      </c>
      <c r="O156" s="18">
        <v>0</v>
      </c>
      <c r="P156" s="18">
        <v>2800</v>
      </c>
      <c r="Q156" s="18">
        <f>#REF!/#REF!</f>
        <v>4.5161290322580649</v>
      </c>
      <c r="R156" s="18"/>
      <c r="S156" s="18">
        <v>1</v>
      </c>
      <c r="T156" s="18"/>
      <c r="U156" s="18"/>
      <c r="V156" s="18"/>
      <c r="W156" s="18"/>
      <c r="X156" s="18"/>
      <c r="Y156" s="18">
        <v>1</v>
      </c>
      <c r="Z156" s="18">
        <v>0</v>
      </c>
      <c r="AA156" s="18">
        <v>0</v>
      </c>
      <c r="AB156" s="18"/>
      <c r="AC156" s="18"/>
      <c r="AD156" s="18"/>
      <c r="AE156" s="18">
        <v>182</v>
      </c>
      <c r="AF156" s="18">
        <v>273</v>
      </c>
      <c r="AG156" s="18" t="s">
        <v>41</v>
      </c>
      <c r="AH156" s="18" t="s">
        <v>41</v>
      </c>
      <c r="AI156" s="18" t="s">
        <v>41</v>
      </c>
      <c r="AJ156" s="18">
        <v>1</v>
      </c>
      <c r="AK156" s="18" t="s">
        <v>1461</v>
      </c>
      <c r="AL156" s="19" t="s">
        <v>41</v>
      </c>
    </row>
    <row r="157" spans="1:38">
      <c r="A157" s="17" t="s">
        <v>110</v>
      </c>
      <c r="B157" s="18" t="s">
        <v>38</v>
      </c>
      <c r="C157" s="18">
        <v>2</v>
      </c>
      <c r="D157" s="18" t="s">
        <v>111</v>
      </c>
      <c r="E157" s="18" t="s">
        <v>112</v>
      </c>
      <c r="F157" s="18" t="s">
        <v>41</v>
      </c>
      <c r="G157" s="18" t="s">
        <v>113</v>
      </c>
      <c r="H157" s="18">
        <v>33</v>
      </c>
      <c r="I157" s="18">
        <v>260</v>
      </c>
      <c r="J157" s="18">
        <v>2700</v>
      </c>
      <c r="K157" s="18">
        <v>5200</v>
      </c>
      <c r="L157" s="18">
        <v>0</v>
      </c>
      <c r="M157" s="18">
        <v>0</v>
      </c>
      <c r="N157" s="18">
        <v>0</v>
      </c>
      <c r="O157" s="18">
        <v>90</v>
      </c>
      <c r="P157" s="18">
        <v>1170</v>
      </c>
      <c r="Q157" s="18">
        <f>#REF!/#REF!</f>
        <v>4.5</v>
      </c>
      <c r="R157" s="18"/>
      <c r="S157" s="18"/>
      <c r="T157" s="18"/>
      <c r="U157" s="18">
        <v>1</v>
      </c>
      <c r="V157" s="18"/>
      <c r="W157" s="18"/>
      <c r="X157" s="18"/>
      <c r="Y157" s="18"/>
      <c r="Z157" s="18">
        <v>152</v>
      </c>
      <c r="AA157" s="18">
        <v>600</v>
      </c>
      <c r="AB157" s="18"/>
      <c r="AC157" s="18"/>
      <c r="AD157" s="18"/>
      <c r="AE157" s="18">
        <v>377</v>
      </c>
      <c r="AF157" s="18">
        <v>566</v>
      </c>
      <c r="AG157" s="18" t="s">
        <v>41</v>
      </c>
      <c r="AH157" s="18" t="s">
        <v>114</v>
      </c>
      <c r="AI157" s="18" t="s">
        <v>41</v>
      </c>
      <c r="AJ157" s="18">
        <v>1</v>
      </c>
      <c r="AK157" s="18" t="s">
        <v>1287</v>
      </c>
      <c r="AL157" s="19" t="s">
        <v>41</v>
      </c>
    </row>
    <row r="158" spans="1:38">
      <c r="A158" s="17" t="s">
        <v>822</v>
      </c>
      <c r="B158" s="18" t="s">
        <v>806</v>
      </c>
      <c r="C158" s="18">
        <v>1</v>
      </c>
      <c r="D158" s="18" t="s">
        <v>823</v>
      </c>
      <c r="E158" s="18" t="s">
        <v>86</v>
      </c>
      <c r="F158" s="18" t="s">
        <v>41</v>
      </c>
      <c r="G158" s="18" t="s">
        <v>87</v>
      </c>
      <c r="H158" s="18">
        <v>22</v>
      </c>
      <c r="I158" s="18">
        <v>250</v>
      </c>
      <c r="J158" s="18">
        <v>4700</v>
      </c>
      <c r="K158" s="18">
        <v>3650</v>
      </c>
      <c r="L158" s="18">
        <v>0</v>
      </c>
      <c r="M158" s="18">
        <v>0</v>
      </c>
      <c r="N158" s="18">
        <v>0</v>
      </c>
      <c r="O158" s="18">
        <v>89</v>
      </c>
      <c r="P158" s="18">
        <v>1120</v>
      </c>
      <c r="Q158" s="18">
        <f>#REF!/#REF!</f>
        <v>4.4800000000000004</v>
      </c>
      <c r="R158" s="18"/>
      <c r="S158" s="18"/>
      <c r="T158" s="18"/>
      <c r="U158" s="18">
        <v>1</v>
      </c>
      <c r="V158" s="18"/>
      <c r="W158" s="18"/>
      <c r="X158" s="18"/>
      <c r="Y158" s="18"/>
      <c r="Z158" s="18">
        <v>85</v>
      </c>
      <c r="AA158" s="18">
        <v>700</v>
      </c>
      <c r="AB158" s="18"/>
      <c r="AC158" s="18">
        <v>350</v>
      </c>
      <c r="AD158" s="18"/>
      <c r="AE158" s="18">
        <v>509</v>
      </c>
      <c r="AF158" s="18">
        <v>800</v>
      </c>
      <c r="AG158" s="18" t="s">
        <v>41</v>
      </c>
      <c r="AH158" s="18" t="s">
        <v>88</v>
      </c>
      <c r="AI158" s="18" t="s">
        <v>41</v>
      </c>
      <c r="AJ158" s="18">
        <v>1</v>
      </c>
      <c r="AK158" s="18" t="s">
        <v>1483</v>
      </c>
      <c r="AL158" s="19" t="s">
        <v>41</v>
      </c>
    </row>
    <row r="159" spans="1:38">
      <c r="A159" s="17" t="s">
        <v>460</v>
      </c>
      <c r="B159" s="18" t="s">
        <v>38</v>
      </c>
      <c r="C159" s="18">
        <v>1</v>
      </c>
      <c r="D159" s="18" t="s">
        <v>461</v>
      </c>
      <c r="E159" s="18" t="s">
        <v>462</v>
      </c>
      <c r="F159" s="18" t="s">
        <v>41</v>
      </c>
      <c r="G159" s="18" t="s">
        <v>463</v>
      </c>
      <c r="H159" s="18">
        <v>28</v>
      </c>
      <c r="I159" s="18">
        <v>650</v>
      </c>
      <c r="J159" s="18">
        <v>1200</v>
      </c>
      <c r="K159" s="18">
        <v>6500</v>
      </c>
      <c r="L159" s="18">
        <v>0</v>
      </c>
      <c r="M159" s="18">
        <v>0</v>
      </c>
      <c r="N159" s="18">
        <v>100</v>
      </c>
      <c r="O159" s="18">
        <v>0</v>
      </c>
      <c r="P159" s="18">
        <v>2900</v>
      </c>
      <c r="Q159" s="18">
        <f>#REF!/#REF!</f>
        <v>4.4615384615384617</v>
      </c>
      <c r="R159" s="18"/>
      <c r="S159" s="18"/>
      <c r="T159" s="18"/>
      <c r="U159" s="18"/>
      <c r="V159" s="18"/>
      <c r="W159" s="18"/>
      <c r="X159" s="18"/>
      <c r="Y159" s="18">
        <v>1</v>
      </c>
      <c r="Z159" s="18">
        <v>0</v>
      </c>
      <c r="AA159" s="18">
        <v>0</v>
      </c>
      <c r="AB159" s="18"/>
      <c r="AC159" s="18"/>
      <c r="AD159" s="18"/>
      <c r="AE159" s="18">
        <v>290</v>
      </c>
      <c r="AF159" s="18">
        <v>435</v>
      </c>
      <c r="AG159" s="18" t="s">
        <v>41</v>
      </c>
      <c r="AH159" s="18" t="s">
        <v>41</v>
      </c>
      <c r="AI159" s="18" t="s">
        <v>464</v>
      </c>
      <c r="AJ159" s="18">
        <v>1</v>
      </c>
      <c r="AK159" s="18" t="s">
        <v>1379</v>
      </c>
      <c r="AL159" s="19" t="s">
        <v>41</v>
      </c>
    </row>
    <row r="160" spans="1:38">
      <c r="A160" s="17" t="s">
        <v>456</v>
      </c>
      <c r="B160" s="18" t="s">
        <v>38</v>
      </c>
      <c r="C160" s="18">
        <v>2</v>
      </c>
      <c r="D160" s="18" t="s">
        <v>457</v>
      </c>
      <c r="E160" s="18" t="s">
        <v>458</v>
      </c>
      <c r="F160" s="18" t="s">
        <v>41</v>
      </c>
      <c r="G160" s="18" t="s">
        <v>459</v>
      </c>
      <c r="H160" s="18">
        <v>64</v>
      </c>
      <c r="I160" s="18">
        <v>1000</v>
      </c>
      <c r="J160" s="18">
        <v>13000</v>
      </c>
      <c r="K160" s="18">
        <v>20000</v>
      </c>
      <c r="L160" s="18">
        <v>0</v>
      </c>
      <c r="M160" s="18">
        <v>0</v>
      </c>
      <c r="N160" s="18">
        <v>0</v>
      </c>
      <c r="O160" s="18">
        <v>0</v>
      </c>
      <c r="P160" s="18">
        <v>4450</v>
      </c>
      <c r="Q160" s="18">
        <f>#REF!/#REF!</f>
        <v>4.45</v>
      </c>
      <c r="R160" s="18"/>
      <c r="S160" s="18"/>
      <c r="T160" s="18"/>
      <c r="U160" s="18"/>
      <c r="V160" s="18"/>
      <c r="W160" s="18"/>
      <c r="X160" s="18"/>
      <c r="Y160" s="18">
        <v>1</v>
      </c>
      <c r="Z160" s="18">
        <v>540</v>
      </c>
      <c r="AA160" s="18">
        <v>800</v>
      </c>
      <c r="AB160" s="18"/>
      <c r="AC160" s="18"/>
      <c r="AD160" s="18"/>
      <c r="AE160" s="18">
        <v>700</v>
      </c>
      <c r="AF160" s="18">
        <v>1050</v>
      </c>
      <c r="AG160" s="18" t="s">
        <v>41</v>
      </c>
      <c r="AH160" s="18" t="s">
        <v>124</v>
      </c>
      <c r="AI160" s="18" t="s">
        <v>41</v>
      </c>
      <c r="AJ160" s="18">
        <v>1</v>
      </c>
      <c r="AK160" s="18" t="s">
        <v>1378</v>
      </c>
      <c r="AL160" s="19" t="s">
        <v>41</v>
      </c>
    </row>
    <row r="161" spans="1:38">
      <c r="A161" s="17" t="s">
        <v>842</v>
      </c>
      <c r="B161" s="18" t="s">
        <v>806</v>
      </c>
      <c r="C161" s="18">
        <v>1</v>
      </c>
      <c r="D161" s="18" t="s">
        <v>153</v>
      </c>
      <c r="E161" s="18" t="s">
        <v>154</v>
      </c>
      <c r="F161" s="18" t="s">
        <v>41</v>
      </c>
      <c r="G161" s="18" t="s">
        <v>843</v>
      </c>
      <c r="H161" s="18">
        <v>57</v>
      </c>
      <c r="I161" s="18">
        <v>400</v>
      </c>
      <c r="J161" s="18">
        <v>4400</v>
      </c>
      <c r="K161" s="18">
        <v>9300</v>
      </c>
      <c r="L161" s="18">
        <v>0</v>
      </c>
      <c r="M161" s="18">
        <v>0</v>
      </c>
      <c r="N161" s="18">
        <v>1000</v>
      </c>
      <c r="O161" s="18">
        <v>0</v>
      </c>
      <c r="P161" s="18">
        <v>1780</v>
      </c>
      <c r="Q161" s="18">
        <f>#REF!/#REF!</f>
        <v>4.45</v>
      </c>
      <c r="R161" s="18"/>
      <c r="S161" s="18"/>
      <c r="T161" s="18"/>
      <c r="U161" s="18"/>
      <c r="V161" s="18"/>
      <c r="W161" s="18"/>
      <c r="X161" s="18"/>
      <c r="Y161" s="18">
        <v>1</v>
      </c>
      <c r="Z161" s="18">
        <v>0</v>
      </c>
      <c r="AA161" s="18">
        <v>0</v>
      </c>
      <c r="AB161" s="18"/>
      <c r="AC161" s="18"/>
      <c r="AD161" s="18"/>
      <c r="AE161" s="18">
        <v>358</v>
      </c>
      <c r="AF161" s="18">
        <v>536</v>
      </c>
      <c r="AG161" s="18" t="s">
        <v>156</v>
      </c>
      <c r="AH161" s="18" t="s">
        <v>41</v>
      </c>
      <c r="AI161" s="18" t="s">
        <v>41</v>
      </c>
      <c r="AJ161" s="18">
        <v>1</v>
      </c>
      <c r="AK161" s="18" t="s">
        <v>1496</v>
      </c>
      <c r="AL161" s="19" t="s">
        <v>41</v>
      </c>
    </row>
    <row r="162" spans="1:38">
      <c r="A162" s="17" t="s">
        <v>937</v>
      </c>
      <c r="B162" s="18" t="s">
        <v>806</v>
      </c>
      <c r="C162" s="18">
        <v>2</v>
      </c>
      <c r="D162" s="18" t="s">
        <v>153</v>
      </c>
      <c r="E162" s="18" t="s">
        <v>154</v>
      </c>
      <c r="F162" s="18" t="s">
        <v>41</v>
      </c>
      <c r="G162" s="18" t="s">
        <v>843</v>
      </c>
      <c r="H162" s="18">
        <v>33</v>
      </c>
      <c r="I162" s="18">
        <v>400</v>
      </c>
      <c r="J162" s="18">
        <v>4400</v>
      </c>
      <c r="K162" s="18">
        <v>9300</v>
      </c>
      <c r="L162" s="18">
        <v>0</v>
      </c>
      <c r="M162" s="18">
        <v>0</v>
      </c>
      <c r="N162" s="18">
        <v>1000</v>
      </c>
      <c r="O162" s="18">
        <v>0</v>
      </c>
      <c r="P162" s="18">
        <v>1780</v>
      </c>
      <c r="Q162" s="18">
        <f>#REF!/#REF!</f>
        <v>4.45</v>
      </c>
      <c r="R162" s="18"/>
      <c r="S162" s="18"/>
      <c r="T162" s="18"/>
      <c r="U162" s="18"/>
      <c r="V162" s="18"/>
      <c r="W162" s="18"/>
      <c r="X162" s="18"/>
      <c r="Y162" s="18">
        <v>1</v>
      </c>
      <c r="Z162" s="18">
        <v>0</v>
      </c>
      <c r="AA162" s="18">
        <v>0</v>
      </c>
      <c r="AB162" s="18"/>
      <c r="AC162" s="18"/>
      <c r="AD162" s="18"/>
      <c r="AE162" s="18">
        <v>358</v>
      </c>
      <c r="AF162" s="18">
        <v>536</v>
      </c>
      <c r="AG162" s="18" t="s">
        <v>156</v>
      </c>
      <c r="AH162" s="18" t="s">
        <v>41</v>
      </c>
      <c r="AI162" s="18" t="s">
        <v>41</v>
      </c>
      <c r="AJ162" s="18">
        <v>1</v>
      </c>
      <c r="AK162" s="18" t="s">
        <v>1531</v>
      </c>
      <c r="AL162" s="19" t="s">
        <v>41</v>
      </c>
    </row>
    <row r="163" spans="1:38">
      <c r="A163" s="17" t="s">
        <v>743</v>
      </c>
      <c r="B163" s="18" t="s">
        <v>38</v>
      </c>
      <c r="C163" s="18">
        <v>1</v>
      </c>
      <c r="D163" s="18" t="s">
        <v>744</v>
      </c>
      <c r="E163" s="18" t="s">
        <v>745</v>
      </c>
      <c r="F163" s="18" t="s">
        <v>41</v>
      </c>
      <c r="G163" s="18" t="s">
        <v>698</v>
      </c>
      <c r="H163" s="18">
        <v>15</v>
      </c>
      <c r="I163" s="18">
        <v>90</v>
      </c>
      <c r="J163" s="18">
        <v>250</v>
      </c>
      <c r="K163" s="18">
        <v>2190</v>
      </c>
      <c r="L163" s="18">
        <v>0</v>
      </c>
      <c r="M163" s="18">
        <v>0</v>
      </c>
      <c r="N163" s="18">
        <v>0</v>
      </c>
      <c r="O163" s="18">
        <v>0</v>
      </c>
      <c r="P163" s="18">
        <v>400</v>
      </c>
      <c r="Q163" s="18">
        <f>#REF!/#REF!</f>
        <v>4.4444444444444446</v>
      </c>
      <c r="R163" s="18"/>
      <c r="S163" s="18"/>
      <c r="T163" s="18"/>
      <c r="U163" s="18"/>
      <c r="V163" s="18"/>
      <c r="W163" s="18"/>
      <c r="X163" s="18"/>
      <c r="Y163" s="18">
        <v>1</v>
      </c>
      <c r="Z163" s="18">
        <v>0</v>
      </c>
      <c r="AA163" s="18">
        <v>0</v>
      </c>
      <c r="AB163" s="18"/>
      <c r="AC163" s="18"/>
      <c r="AD163" s="18"/>
      <c r="AE163" s="18">
        <v>130</v>
      </c>
      <c r="AF163" s="18">
        <v>195</v>
      </c>
      <c r="AG163" s="18" t="s">
        <v>41</v>
      </c>
      <c r="AH163" s="18" t="s">
        <v>41</v>
      </c>
      <c r="AI163" s="18" t="s">
        <v>41</v>
      </c>
      <c r="AJ163" s="18">
        <v>1</v>
      </c>
      <c r="AK163" s="18" t="s">
        <v>1453</v>
      </c>
      <c r="AL163" s="19" t="s">
        <v>41</v>
      </c>
    </row>
    <row r="164" spans="1:38">
      <c r="A164" s="17" t="s">
        <v>699</v>
      </c>
      <c r="B164" s="18" t="s">
        <v>38</v>
      </c>
      <c r="C164" s="18">
        <v>2</v>
      </c>
      <c r="D164" s="18" t="s">
        <v>700</v>
      </c>
      <c r="E164" s="18" t="s">
        <v>701</v>
      </c>
      <c r="F164" s="18" t="s">
        <v>41</v>
      </c>
      <c r="G164" s="18" t="s">
        <v>702</v>
      </c>
      <c r="H164" s="18">
        <v>13</v>
      </c>
      <c r="I164" s="18">
        <v>250</v>
      </c>
      <c r="J164" s="18">
        <v>5000</v>
      </c>
      <c r="K164" s="18">
        <v>5100</v>
      </c>
      <c r="L164" s="18">
        <v>0</v>
      </c>
      <c r="M164" s="18">
        <v>0</v>
      </c>
      <c r="N164" s="18">
        <v>150</v>
      </c>
      <c r="O164" s="18">
        <v>72</v>
      </c>
      <c r="P164" s="18">
        <v>1110</v>
      </c>
      <c r="Q164" s="18">
        <f>#REF!/#REF!</f>
        <v>4.4400000000000004</v>
      </c>
      <c r="R164" s="18"/>
      <c r="S164" s="18"/>
      <c r="T164" s="18"/>
      <c r="U164" s="18"/>
      <c r="V164" s="18"/>
      <c r="W164" s="18"/>
      <c r="X164" s="18"/>
      <c r="Y164" s="18"/>
      <c r="Z164" s="18">
        <v>0</v>
      </c>
      <c r="AA164" s="18">
        <v>280</v>
      </c>
      <c r="AB164" s="18"/>
      <c r="AC164" s="18"/>
      <c r="AD164" s="18"/>
      <c r="AE164" s="18">
        <v>550</v>
      </c>
      <c r="AF164" s="18">
        <v>825</v>
      </c>
      <c r="AG164" s="18" t="s">
        <v>424</v>
      </c>
      <c r="AH164" s="18" t="s">
        <v>287</v>
      </c>
      <c r="AI164" s="18" t="s">
        <v>41</v>
      </c>
      <c r="AJ164" s="18">
        <v>1</v>
      </c>
      <c r="AK164" s="18" t="s">
        <v>1442</v>
      </c>
      <c r="AL164" s="19" t="s">
        <v>41</v>
      </c>
    </row>
    <row r="165" spans="1:38">
      <c r="A165" s="17" t="s">
        <v>1224</v>
      </c>
      <c r="B165" s="18" t="s">
        <v>806</v>
      </c>
      <c r="C165" s="18">
        <v>1</v>
      </c>
      <c r="D165" s="18" t="s">
        <v>794</v>
      </c>
      <c r="E165" s="18" t="s">
        <v>795</v>
      </c>
      <c r="F165" s="18" t="s">
        <v>41</v>
      </c>
      <c r="G165" s="18" t="s">
        <v>796</v>
      </c>
      <c r="H165" s="18">
        <v>67</v>
      </c>
      <c r="I165" s="18">
        <v>45</v>
      </c>
      <c r="J165" s="18">
        <v>175</v>
      </c>
      <c r="K165" s="18">
        <v>1680</v>
      </c>
      <c r="L165" s="18">
        <v>0</v>
      </c>
      <c r="M165" s="18">
        <v>0</v>
      </c>
      <c r="N165" s="18">
        <v>0</v>
      </c>
      <c r="O165" s="18">
        <v>0</v>
      </c>
      <c r="P165" s="18">
        <v>199</v>
      </c>
      <c r="Q165" s="18">
        <f>#REF!/#REF!</f>
        <v>4.4222222222222225</v>
      </c>
      <c r="R165" s="18"/>
      <c r="S165" s="18"/>
      <c r="T165" s="18"/>
      <c r="U165" s="18"/>
      <c r="V165" s="18"/>
      <c r="W165" s="18"/>
      <c r="X165" s="18"/>
      <c r="Y165" s="18">
        <v>1</v>
      </c>
      <c r="Z165" s="18">
        <v>0</v>
      </c>
      <c r="AA165" s="18">
        <v>0</v>
      </c>
      <c r="AB165" s="18"/>
      <c r="AC165" s="18"/>
      <c r="AD165" s="18"/>
      <c r="AE165" s="18">
        <v>273</v>
      </c>
      <c r="AF165" s="18">
        <v>410</v>
      </c>
      <c r="AG165" s="18" t="s">
        <v>41</v>
      </c>
      <c r="AH165" s="18" t="s">
        <v>41</v>
      </c>
      <c r="AI165" s="18" t="s">
        <v>41</v>
      </c>
      <c r="AJ165" s="18">
        <v>1</v>
      </c>
      <c r="AK165" s="18" t="s">
        <v>1671</v>
      </c>
      <c r="AL165" s="19" t="s">
        <v>41</v>
      </c>
    </row>
    <row r="166" spans="1:38">
      <c r="A166" s="17" t="s">
        <v>1154</v>
      </c>
      <c r="B166" s="18" t="s">
        <v>806</v>
      </c>
      <c r="C166" s="18">
        <v>3</v>
      </c>
      <c r="D166" s="18" t="s">
        <v>1155</v>
      </c>
      <c r="E166" s="18" t="s">
        <v>1156</v>
      </c>
      <c r="F166" s="18" t="s">
        <v>41</v>
      </c>
      <c r="G166" s="18" t="s">
        <v>1157</v>
      </c>
      <c r="H166" s="18">
        <v>40</v>
      </c>
      <c r="I166" s="18">
        <v>950</v>
      </c>
      <c r="J166" s="18">
        <v>19000</v>
      </c>
      <c r="K166" s="18">
        <v>27000</v>
      </c>
      <c r="L166" s="18">
        <v>0</v>
      </c>
      <c r="M166" s="18">
        <v>0</v>
      </c>
      <c r="N166" s="18">
        <v>0</v>
      </c>
      <c r="O166" s="18">
        <v>45</v>
      </c>
      <c r="P166" s="18">
        <v>4200</v>
      </c>
      <c r="Q166" s="18">
        <f>#REF!/#REF!</f>
        <v>4.4210526315789478</v>
      </c>
      <c r="R166" s="18"/>
      <c r="S166" s="18"/>
      <c r="T166" s="18"/>
      <c r="U166" s="18">
        <v>1</v>
      </c>
      <c r="V166" s="18"/>
      <c r="W166" s="18"/>
      <c r="X166" s="18"/>
      <c r="Y166" s="18"/>
      <c r="Z166" s="18">
        <v>279</v>
      </c>
      <c r="AA166" s="18">
        <v>725</v>
      </c>
      <c r="AB166" s="18"/>
      <c r="AC166" s="18">
        <v>550</v>
      </c>
      <c r="AD166" s="18"/>
      <c r="AE166" s="18">
        <v>650</v>
      </c>
      <c r="AF166" s="18">
        <v>975</v>
      </c>
      <c r="AG166" s="18" t="s">
        <v>41</v>
      </c>
      <c r="AH166" s="18" t="s">
        <v>1635</v>
      </c>
      <c r="AI166" s="18" t="s">
        <v>41</v>
      </c>
      <c r="AJ166" s="18">
        <v>1</v>
      </c>
      <c r="AK166" s="18" t="s">
        <v>1636</v>
      </c>
      <c r="AL166" s="19" t="s">
        <v>41</v>
      </c>
    </row>
    <row r="167" spans="1:38">
      <c r="A167" s="17" t="s">
        <v>1225</v>
      </c>
      <c r="B167" s="18" t="s">
        <v>806</v>
      </c>
      <c r="C167" s="18">
        <v>1</v>
      </c>
      <c r="D167" s="18" t="s">
        <v>1226</v>
      </c>
      <c r="E167" s="18" t="s">
        <v>1227</v>
      </c>
      <c r="F167" s="18" t="s">
        <v>41</v>
      </c>
      <c r="G167" s="18" t="s">
        <v>143</v>
      </c>
      <c r="H167" s="18">
        <v>36</v>
      </c>
      <c r="I167" s="18">
        <v>170</v>
      </c>
      <c r="J167" s="18">
        <v>2500</v>
      </c>
      <c r="K167" s="18">
        <v>3550</v>
      </c>
      <c r="L167" s="18">
        <v>0</v>
      </c>
      <c r="M167" s="18">
        <v>0</v>
      </c>
      <c r="N167" s="18">
        <v>0</v>
      </c>
      <c r="O167" s="18">
        <v>48</v>
      </c>
      <c r="P167" s="18">
        <v>750</v>
      </c>
      <c r="Q167" s="18">
        <f>#REF!/#REF!</f>
        <v>4.4117647058823533</v>
      </c>
      <c r="R167" s="18"/>
      <c r="S167" s="18"/>
      <c r="T167" s="18"/>
      <c r="U167" s="18"/>
      <c r="V167" s="18"/>
      <c r="W167" s="18"/>
      <c r="X167" s="18"/>
      <c r="Y167" s="18"/>
      <c r="Z167" s="18">
        <v>42</v>
      </c>
      <c r="AA167" s="18">
        <v>710</v>
      </c>
      <c r="AB167" s="18"/>
      <c r="AC167" s="18"/>
      <c r="AD167" s="18"/>
      <c r="AE167" s="18">
        <v>299</v>
      </c>
      <c r="AF167" s="18">
        <v>449</v>
      </c>
      <c r="AG167" s="18" t="s">
        <v>41</v>
      </c>
      <c r="AH167" s="18" t="s">
        <v>124</v>
      </c>
      <c r="AI167" s="18" t="s">
        <v>41</v>
      </c>
      <c r="AJ167" s="18">
        <v>1</v>
      </c>
      <c r="AK167" s="18" t="s">
        <v>1672</v>
      </c>
      <c r="AL167" s="19" t="s">
        <v>41</v>
      </c>
    </row>
    <row r="168" spans="1:38">
      <c r="A168" s="17" t="s">
        <v>905</v>
      </c>
      <c r="B168" s="18" t="s">
        <v>806</v>
      </c>
      <c r="C168" s="18">
        <v>1</v>
      </c>
      <c r="D168" s="18" t="s">
        <v>906</v>
      </c>
      <c r="E168" s="18" t="s">
        <v>630</v>
      </c>
      <c r="F168" s="18" t="s">
        <v>41</v>
      </c>
      <c r="G168" s="18" t="s">
        <v>907</v>
      </c>
      <c r="H168" s="18">
        <v>14</v>
      </c>
      <c r="I168" s="18">
        <v>230</v>
      </c>
      <c r="J168" s="18">
        <v>5400</v>
      </c>
      <c r="K168" s="18">
        <v>9470</v>
      </c>
      <c r="L168" s="18">
        <v>0</v>
      </c>
      <c r="M168" s="18">
        <v>0</v>
      </c>
      <c r="N168" s="18">
        <v>0</v>
      </c>
      <c r="O168" s="18">
        <v>152</v>
      </c>
      <c r="P168" s="18">
        <v>1010</v>
      </c>
      <c r="Q168" s="18">
        <f>#REF!/#REF!</f>
        <v>4.3913043478260869</v>
      </c>
      <c r="R168" s="18">
        <v>1</v>
      </c>
      <c r="S168" s="18"/>
      <c r="T168" s="18">
        <v>1</v>
      </c>
      <c r="U168" s="18"/>
      <c r="V168" s="18"/>
      <c r="W168" s="18"/>
      <c r="X168" s="18"/>
      <c r="Y168" s="18"/>
      <c r="Z168" s="18">
        <v>72</v>
      </c>
      <c r="AA168" s="18">
        <v>430</v>
      </c>
      <c r="AB168" s="18"/>
      <c r="AC168" s="18"/>
      <c r="AD168" s="18"/>
      <c r="AE168" s="18">
        <v>595</v>
      </c>
      <c r="AF168" s="18">
        <v>893</v>
      </c>
      <c r="AG168" s="18" t="s">
        <v>41</v>
      </c>
      <c r="AH168" s="18" t="s">
        <v>124</v>
      </c>
      <c r="AI168" s="18" t="s">
        <v>41</v>
      </c>
      <c r="AJ168" s="18">
        <v>1</v>
      </c>
      <c r="AK168" s="18" t="s">
        <v>1517</v>
      </c>
      <c r="AL168" s="19" t="s">
        <v>41</v>
      </c>
    </row>
    <row r="169" spans="1:38">
      <c r="A169" s="17" t="s">
        <v>965</v>
      </c>
      <c r="B169" s="18" t="s">
        <v>806</v>
      </c>
      <c r="C169" s="18">
        <v>1</v>
      </c>
      <c r="D169" s="18" t="s">
        <v>966</v>
      </c>
      <c r="E169" s="18" t="s">
        <v>390</v>
      </c>
      <c r="F169" s="18" t="s">
        <v>41</v>
      </c>
      <c r="G169" s="18" t="s">
        <v>391</v>
      </c>
      <c r="H169" s="18">
        <v>50</v>
      </c>
      <c r="I169" s="18">
        <v>90</v>
      </c>
      <c r="J169" s="18">
        <v>1000</v>
      </c>
      <c r="K169" s="18">
        <v>2200</v>
      </c>
      <c r="L169" s="18">
        <v>0</v>
      </c>
      <c r="M169" s="18">
        <v>0</v>
      </c>
      <c r="N169" s="18">
        <v>0</v>
      </c>
      <c r="O169" s="18">
        <v>0</v>
      </c>
      <c r="P169" s="18">
        <v>395</v>
      </c>
      <c r="Q169" s="18">
        <f>#REF!/#REF!</f>
        <v>4.3888888888888893</v>
      </c>
      <c r="R169" s="18"/>
      <c r="S169" s="18"/>
      <c r="T169" s="18"/>
      <c r="U169" s="18"/>
      <c r="V169" s="18"/>
      <c r="W169" s="18"/>
      <c r="X169" s="18"/>
      <c r="Y169" s="18">
        <v>1</v>
      </c>
      <c r="Z169" s="18">
        <v>96</v>
      </c>
      <c r="AA169" s="18">
        <v>765</v>
      </c>
      <c r="AB169" s="18"/>
      <c r="AC169" s="18"/>
      <c r="AD169" s="18"/>
      <c r="AE169" s="18">
        <v>468</v>
      </c>
      <c r="AF169" s="18">
        <v>750</v>
      </c>
      <c r="AG169" s="18" t="s">
        <v>41</v>
      </c>
      <c r="AH169" s="18" t="s">
        <v>88</v>
      </c>
      <c r="AI169" s="18" t="s">
        <v>41</v>
      </c>
      <c r="AJ169" s="18">
        <v>1</v>
      </c>
      <c r="AK169" s="18" t="s">
        <v>1546</v>
      </c>
      <c r="AL169" s="19" t="s">
        <v>41</v>
      </c>
    </row>
    <row r="170" spans="1:38">
      <c r="A170" s="17" t="s">
        <v>144</v>
      </c>
      <c r="B170" s="18" t="s">
        <v>38</v>
      </c>
      <c r="C170" s="18">
        <v>2</v>
      </c>
      <c r="D170" s="18" t="s">
        <v>145</v>
      </c>
      <c r="E170" s="18" t="s">
        <v>146</v>
      </c>
      <c r="F170" s="18" t="s">
        <v>41</v>
      </c>
      <c r="G170" s="18" t="s">
        <v>147</v>
      </c>
      <c r="H170" s="18">
        <v>34</v>
      </c>
      <c r="I170" s="18">
        <v>78</v>
      </c>
      <c r="J170" s="18">
        <v>1400</v>
      </c>
      <c r="K170" s="18">
        <v>4940</v>
      </c>
      <c r="L170" s="18">
        <v>0</v>
      </c>
      <c r="M170" s="18">
        <v>0</v>
      </c>
      <c r="N170" s="18">
        <v>0</v>
      </c>
      <c r="O170" s="18">
        <v>48</v>
      </c>
      <c r="P170" s="18">
        <v>340</v>
      </c>
      <c r="Q170" s="18">
        <f>#REF!/#REF!</f>
        <v>4.3589743589743586</v>
      </c>
      <c r="R170" s="18"/>
      <c r="S170" s="18"/>
      <c r="T170" s="18"/>
      <c r="U170" s="18"/>
      <c r="V170" s="18"/>
      <c r="W170" s="18"/>
      <c r="X170" s="18"/>
      <c r="Y170" s="18"/>
      <c r="Z170" s="18">
        <v>0</v>
      </c>
      <c r="AA170" s="18">
        <v>0</v>
      </c>
      <c r="AB170" s="18">
        <v>450</v>
      </c>
      <c r="AC170" s="18"/>
      <c r="AD170" s="18"/>
      <c r="AE170" s="18">
        <v>260</v>
      </c>
      <c r="AF170" s="18">
        <v>390</v>
      </c>
      <c r="AG170" s="18" t="s">
        <v>148</v>
      </c>
      <c r="AH170" s="18" t="s">
        <v>41</v>
      </c>
      <c r="AI170" s="18" t="s">
        <v>41</v>
      </c>
      <c r="AJ170" s="18">
        <v>1</v>
      </c>
      <c r="AK170" s="18" t="s">
        <v>1297</v>
      </c>
      <c r="AL170" s="19" t="s">
        <v>41</v>
      </c>
    </row>
    <row r="171" spans="1:38">
      <c r="A171" s="17" t="s">
        <v>248</v>
      </c>
      <c r="B171" s="18" t="s">
        <v>38</v>
      </c>
      <c r="C171" s="18">
        <v>2</v>
      </c>
      <c r="D171" s="18" t="s">
        <v>249</v>
      </c>
      <c r="E171" s="18" t="s">
        <v>250</v>
      </c>
      <c r="F171" s="18" t="s">
        <v>41</v>
      </c>
      <c r="G171" s="18" t="s">
        <v>251</v>
      </c>
      <c r="H171" s="18">
        <v>33</v>
      </c>
      <c r="I171" s="18">
        <v>250</v>
      </c>
      <c r="J171" s="18">
        <v>4300</v>
      </c>
      <c r="K171" s="18">
        <v>6800</v>
      </c>
      <c r="L171" s="18">
        <v>0</v>
      </c>
      <c r="M171" s="18">
        <v>15</v>
      </c>
      <c r="N171" s="18">
        <v>150</v>
      </c>
      <c r="O171" s="18">
        <v>78</v>
      </c>
      <c r="P171" s="18">
        <v>1080</v>
      </c>
      <c r="Q171" s="18">
        <f>#REF!/#REF!</f>
        <v>4.32</v>
      </c>
      <c r="R171" s="18"/>
      <c r="S171" s="18"/>
      <c r="T171" s="18"/>
      <c r="U171" s="18"/>
      <c r="V171" s="18"/>
      <c r="W171" s="18"/>
      <c r="X171" s="18"/>
      <c r="Y171" s="18"/>
      <c r="Z171" s="18">
        <v>0</v>
      </c>
      <c r="AA171" s="18">
        <v>0</v>
      </c>
      <c r="AB171" s="18"/>
      <c r="AC171" s="18"/>
      <c r="AD171" s="18"/>
      <c r="AE171" s="18">
        <v>500</v>
      </c>
      <c r="AF171" s="18">
        <v>750</v>
      </c>
      <c r="AG171" s="18" t="s">
        <v>41</v>
      </c>
      <c r="AH171" s="18" t="s">
        <v>41</v>
      </c>
      <c r="AI171" s="18" t="s">
        <v>252</v>
      </c>
      <c r="AJ171" s="18">
        <v>1</v>
      </c>
      <c r="AK171" s="18" t="s">
        <v>1321</v>
      </c>
      <c r="AL171" s="19" t="s">
        <v>41</v>
      </c>
    </row>
    <row r="172" spans="1:38">
      <c r="A172" s="17" t="s">
        <v>439</v>
      </c>
      <c r="B172" s="18" t="s">
        <v>38</v>
      </c>
      <c r="C172" s="18">
        <v>1</v>
      </c>
      <c r="D172" s="18" t="s">
        <v>440</v>
      </c>
      <c r="E172" s="18" t="s">
        <v>441</v>
      </c>
      <c r="F172" s="18" t="s">
        <v>41</v>
      </c>
      <c r="G172" s="18" t="s">
        <v>442</v>
      </c>
      <c r="H172" s="18">
        <v>19</v>
      </c>
      <c r="I172" s="18">
        <v>240</v>
      </c>
      <c r="J172" s="18">
        <v>2600</v>
      </c>
      <c r="K172" s="18">
        <v>3550</v>
      </c>
      <c r="L172" s="18">
        <v>0</v>
      </c>
      <c r="M172" s="18">
        <v>0</v>
      </c>
      <c r="N172" s="18">
        <v>0</v>
      </c>
      <c r="O172" s="18">
        <v>54</v>
      </c>
      <c r="P172" s="18">
        <v>1030</v>
      </c>
      <c r="Q172" s="18">
        <f>#REF!/#REF!</f>
        <v>4.291666666666667</v>
      </c>
      <c r="R172" s="18"/>
      <c r="S172" s="18"/>
      <c r="T172" s="18"/>
      <c r="U172" s="18"/>
      <c r="V172" s="18"/>
      <c r="W172" s="18"/>
      <c r="X172" s="18"/>
      <c r="Y172" s="18"/>
      <c r="Z172" s="18">
        <v>88</v>
      </c>
      <c r="AA172" s="18">
        <v>380</v>
      </c>
      <c r="AB172" s="18"/>
      <c r="AC172" s="18"/>
      <c r="AD172" s="18"/>
      <c r="AE172" s="18">
        <v>325</v>
      </c>
      <c r="AF172" s="18">
        <v>488</v>
      </c>
      <c r="AG172" s="18" t="s">
        <v>41</v>
      </c>
      <c r="AH172" s="18" t="s">
        <v>443</v>
      </c>
      <c r="AI172" s="18" t="s">
        <v>41</v>
      </c>
      <c r="AJ172" s="18">
        <v>1</v>
      </c>
      <c r="AK172" s="18" t="s">
        <v>1374</v>
      </c>
      <c r="AL172" s="19" t="s">
        <v>41</v>
      </c>
    </row>
    <row r="173" spans="1:38">
      <c r="A173" s="17" t="s">
        <v>967</v>
      </c>
      <c r="B173" s="18" t="s">
        <v>806</v>
      </c>
      <c r="C173" s="18">
        <v>2</v>
      </c>
      <c r="D173" s="18" t="s">
        <v>1547</v>
      </c>
      <c r="E173" s="18" t="s">
        <v>968</v>
      </c>
      <c r="F173" s="18" t="s">
        <v>41</v>
      </c>
      <c r="G173" s="18" t="s">
        <v>969</v>
      </c>
      <c r="H173" s="18">
        <v>15</v>
      </c>
      <c r="I173" s="18">
        <v>630</v>
      </c>
      <c r="J173" s="18">
        <v>9400</v>
      </c>
      <c r="K173" s="18">
        <v>9400</v>
      </c>
      <c r="L173" s="18">
        <v>0</v>
      </c>
      <c r="M173" s="18">
        <v>0</v>
      </c>
      <c r="N173" s="18">
        <v>0</v>
      </c>
      <c r="O173" s="18">
        <v>93</v>
      </c>
      <c r="P173" s="18">
        <v>2700</v>
      </c>
      <c r="Q173" s="18">
        <f>#REF!/#REF!</f>
        <v>4.2857142857142856</v>
      </c>
      <c r="R173" s="18"/>
      <c r="S173" s="18"/>
      <c r="T173" s="18"/>
      <c r="U173" s="18"/>
      <c r="V173" s="18">
        <v>1</v>
      </c>
      <c r="W173" s="18"/>
      <c r="X173" s="18"/>
      <c r="Y173" s="18"/>
      <c r="Z173" s="18">
        <v>444</v>
      </c>
      <c r="AA173" s="18">
        <v>710</v>
      </c>
      <c r="AB173" s="18"/>
      <c r="AC173" s="18"/>
      <c r="AD173" s="18">
        <v>750</v>
      </c>
      <c r="AE173" s="18">
        <v>500</v>
      </c>
      <c r="AF173" s="18">
        <v>750</v>
      </c>
      <c r="AG173" s="18" t="s">
        <v>41</v>
      </c>
      <c r="AH173" s="18" t="s">
        <v>915</v>
      </c>
      <c r="AI173" s="18" t="s">
        <v>41</v>
      </c>
      <c r="AJ173" s="18">
        <v>1</v>
      </c>
      <c r="AK173" s="18" t="s">
        <v>1548</v>
      </c>
      <c r="AL173" s="19" t="s">
        <v>41</v>
      </c>
    </row>
    <row r="174" spans="1:38">
      <c r="A174" s="17" t="s">
        <v>355</v>
      </c>
      <c r="B174" s="18" t="s">
        <v>38</v>
      </c>
      <c r="C174" s="18">
        <v>2</v>
      </c>
      <c r="D174" s="18" t="s">
        <v>356</v>
      </c>
      <c r="E174" s="18" t="s">
        <v>357</v>
      </c>
      <c r="F174" s="18" t="s">
        <v>41</v>
      </c>
      <c r="G174" s="18" t="s">
        <v>358</v>
      </c>
      <c r="H174" s="18">
        <v>29</v>
      </c>
      <c r="I174" s="18">
        <v>300</v>
      </c>
      <c r="J174" s="18">
        <v>6300</v>
      </c>
      <c r="K174" s="18">
        <v>6230</v>
      </c>
      <c r="L174" s="18">
        <v>0</v>
      </c>
      <c r="M174" s="18">
        <v>0</v>
      </c>
      <c r="N174" s="18">
        <v>0</v>
      </c>
      <c r="O174" s="18">
        <v>69</v>
      </c>
      <c r="P174" s="18">
        <v>1280</v>
      </c>
      <c r="Q174" s="18">
        <f>#REF!/#REF!</f>
        <v>4.2666666666666666</v>
      </c>
      <c r="R174" s="18"/>
      <c r="S174" s="18"/>
      <c r="T174" s="18"/>
      <c r="U174" s="18"/>
      <c r="V174" s="18"/>
      <c r="W174" s="18"/>
      <c r="X174" s="18"/>
      <c r="Y174" s="18"/>
      <c r="Z174" s="18">
        <v>143</v>
      </c>
      <c r="AA174" s="18">
        <v>650</v>
      </c>
      <c r="AB174" s="18"/>
      <c r="AC174" s="18"/>
      <c r="AD174" s="18"/>
      <c r="AE174" s="18">
        <v>400</v>
      </c>
      <c r="AF174" s="18">
        <v>600</v>
      </c>
      <c r="AG174" s="18" t="s">
        <v>41</v>
      </c>
      <c r="AH174" s="18" t="s">
        <v>99</v>
      </c>
      <c r="AI174" s="18" t="s">
        <v>41</v>
      </c>
      <c r="AJ174" s="18">
        <v>1</v>
      </c>
      <c r="AK174" s="18" t="s">
        <v>1348</v>
      </c>
      <c r="AL174" s="19" t="s">
        <v>41</v>
      </c>
    </row>
    <row r="175" spans="1:38">
      <c r="A175" s="17" t="s">
        <v>1088</v>
      </c>
      <c r="B175" s="18" t="s">
        <v>806</v>
      </c>
      <c r="C175" s="18">
        <v>1</v>
      </c>
      <c r="D175" s="18" t="s">
        <v>1089</v>
      </c>
      <c r="E175" s="18" t="s">
        <v>1090</v>
      </c>
      <c r="F175" s="18" t="s">
        <v>41</v>
      </c>
      <c r="G175" s="18" t="s">
        <v>20</v>
      </c>
      <c r="H175" s="18">
        <v>13</v>
      </c>
      <c r="I175" s="18">
        <v>210</v>
      </c>
      <c r="J175" s="18">
        <v>1400</v>
      </c>
      <c r="K175" s="18">
        <v>2500</v>
      </c>
      <c r="L175" s="18">
        <v>0</v>
      </c>
      <c r="M175" s="18">
        <v>0</v>
      </c>
      <c r="N175" s="18">
        <v>0</v>
      </c>
      <c r="O175" s="18">
        <v>69</v>
      </c>
      <c r="P175" s="18">
        <v>890</v>
      </c>
      <c r="Q175" s="18">
        <f>#REF!/#REF!</f>
        <v>4.2380952380952381</v>
      </c>
      <c r="R175" s="18"/>
      <c r="S175" s="18"/>
      <c r="T175" s="18"/>
      <c r="U175" s="18"/>
      <c r="V175" s="18">
        <v>1</v>
      </c>
      <c r="W175" s="18"/>
      <c r="X175" s="18"/>
      <c r="Y175" s="18"/>
      <c r="Z175" s="18">
        <v>84</v>
      </c>
      <c r="AA175" s="18">
        <v>750</v>
      </c>
      <c r="AB175" s="18"/>
      <c r="AC175" s="18">
        <v>400</v>
      </c>
      <c r="AD175" s="18">
        <v>1000</v>
      </c>
      <c r="AE175" s="18">
        <v>670</v>
      </c>
      <c r="AF175" s="18">
        <v>800</v>
      </c>
      <c r="AG175" s="18" t="s">
        <v>48</v>
      </c>
      <c r="AH175" s="18" t="s">
        <v>443</v>
      </c>
      <c r="AI175" s="18" t="s">
        <v>41</v>
      </c>
      <c r="AJ175" s="18">
        <v>1</v>
      </c>
      <c r="AK175" s="18" t="s">
        <v>1607</v>
      </c>
      <c r="AL175" s="19" t="s">
        <v>41</v>
      </c>
    </row>
    <row r="176" spans="1:38">
      <c r="A176" s="17" t="s">
        <v>388</v>
      </c>
      <c r="B176" s="18" t="s">
        <v>38</v>
      </c>
      <c r="C176" s="18">
        <v>1</v>
      </c>
      <c r="D176" s="18" t="s">
        <v>389</v>
      </c>
      <c r="E176" s="18" t="s">
        <v>390</v>
      </c>
      <c r="F176" s="18" t="s">
        <v>41</v>
      </c>
      <c r="G176" s="18" t="s">
        <v>391</v>
      </c>
      <c r="H176" s="18">
        <v>60</v>
      </c>
      <c r="I176" s="18">
        <v>90</v>
      </c>
      <c r="J176" s="18">
        <v>1000</v>
      </c>
      <c r="K176" s="18">
        <v>2200</v>
      </c>
      <c r="L176" s="18">
        <v>0</v>
      </c>
      <c r="M176" s="18">
        <v>0</v>
      </c>
      <c r="N176" s="18">
        <v>0</v>
      </c>
      <c r="O176" s="18">
        <v>0</v>
      </c>
      <c r="P176" s="18">
        <v>380</v>
      </c>
      <c r="Q176" s="18">
        <f>#REF!/#REF!</f>
        <v>4.2222222222222223</v>
      </c>
      <c r="R176" s="18"/>
      <c r="S176" s="18"/>
      <c r="T176" s="18"/>
      <c r="U176" s="18"/>
      <c r="V176" s="18"/>
      <c r="W176" s="18"/>
      <c r="X176" s="18"/>
      <c r="Y176" s="18">
        <v>1</v>
      </c>
      <c r="Z176" s="18">
        <v>96</v>
      </c>
      <c r="AA176" s="18">
        <v>765</v>
      </c>
      <c r="AB176" s="18"/>
      <c r="AC176" s="18"/>
      <c r="AD176" s="18"/>
      <c r="AE176" s="18">
        <v>468</v>
      </c>
      <c r="AF176" s="18">
        <v>750</v>
      </c>
      <c r="AG176" s="18" t="s">
        <v>41</v>
      </c>
      <c r="AH176" s="18" t="s">
        <v>88</v>
      </c>
      <c r="AI176" s="18" t="s">
        <v>41</v>
      </c>
      <c r="AJ176" s="18">
        <v>1</v>
      </c>
      <c r="AK176" s="18" t="s">
        <v>1357</v>
      </c>
      <c r="AL176" s="19" t="s">
        <v>41</v>
      </c>
    </row>
    <row r="177" spans="1:38">
      <c r="A177" s="17" t="s">
        <v>836</v>
      </c>
      <c r="B177" s="18" t="s">
        <v>806</v>
      </c>
      <c r="C177" s="18">
        <v>2</v>
      </c>
      <c r="D177" s="18" t="s">
        <v>837</v>
      </c>
      <c r="E177" s="18" t="s">
        <v>205</v>
      </c>
      <c r="F177" s="18" t="s">
        <v>41</v>
      </c>
      <c r="G177" s="18" t="s">
        <v>202</v>
      </c>
      <c r="H177" s="18">
        <v>23</v>
      </c>
      <c r="I177" s="18">
        <v>370</v>
      </c>
      <c r="J177" s="18">
        <v>6800</v>
      </c>
      <c r="K177" s="18">
        <v>14500</v>
      </c>
      <c r="L177" s="18">
        <v>0</v>
      </c>
      <c r="M177" s="18">
        <v>0</v>
      </c>
      <c r="N177" s="18">
        <v>0</v>
      </c>
      <c r="O177" s="18">
        <v>159</v>
      </c>
      <c r="P177" s="18">
        <v>1560</v>
      </c>
      <c r="Q177" s="18">
        <f>#REF!/#REF!</f>
        <v>4.2162162162162158</v>
      </c>
      <c r="R177" s="18"/>
      <c r="S177" s="18"/>
      <c r="T177" s="18">
        <v>1</v>
      </c>
      <c r="U177" s="18"/>
      <c r="V177" s="18"/>
      <c r="W177" s="18"/>
      <c r="X177" s="18"/>
      <c r="Y177" s="18"/>
      <c r="Z177" s="18">
        <v>111</v>
      </c>
      <c r="AA177" s="18">
        <v>410</v>
      </c>
      <c r="AB177" s="18"/>
      <c r="AC177" s="18"/>
      <c r="AD177" s="18"/>
      <c r="AE177" s="18">
        <v>550</v>
      </c>
      <c r="AF177" s="18">
        <v>825</v>
      </c>
      <c r="AG177" s="18" t="s">
        <v>41</v>
      </c>
      <c r="AH177" s="18" t="s">
        <v>88</v>
      </c>
      <c r="AI177" s="18" t="s">
        <v>41</v>
      </c>
      <c r="AJ177" s="18">
        <v>1</v>
      </c>
      <c r="AK177" s="18" t="s">
        <v>1492</v>
      </c>
      <c r="AL177" s="19" t="s">
        <v>41</v>
      </c>
    </row>
    <row r="178" spans="1:38">
      <c r="A178" s="17" t="s">
        <v>1564</v>
      </c>
      <c r="B178" s="18" t="s">
        <v>806</v>
      </c>
      <c r="C178" s="18">
        <v>1</v>
      </c>
      <c r="D178" s="18" t="s">
        <v>1565</v>
      </c>
      <c r="E178" s="18" t="s">
        <v>1370</v>
      </c>
      <c r="F178" s="18" t="s">
        <v>41</v>
      </c>
      <c r="G178" s="18" t="s">
        <v>171</v>
      </c>
      <c r="H178" s="18">
        <v>23</v>
      </c>
      <c r="I178" s="18">
        <v>190</v>
      </c>
      <c r="J178" s="18">
        <v>4000</v>
      </c>
      <c r="K178" s="18">
        <v>8500</v>
      </c>
      <c r="L178" s="18">
        <v>0</v>
      </c>
      <c r="M178" s="18">
        <v>0</v>
      </c>
      <c r="N178" s="18">
        <v>0</v>
      </c>
      <c r="O178" s="18">
        <v>100</v>
      </c>
      <c r="P178" s="18">
        <v>800</v>
      </c>
      <c r="Q178" s="18">
        <f>#REF!/#REF!</f>
        <v>4.2105263157894735</v>
      </c>
      <c r="R178" s="18"/>
      <c r="S178" s="18"/>
      <c r="T178" s="18">
        <v>1</v>
      </c>
      <c r="U178" s="18"/>
      <c r="V178" s="18"/>
      <c r="W178" s="18"/>
      <c r="X178" s="18"/>
      <c r="Y178" s="18"/>
      <c r="Z178" s="18">
        <v>0</v>
      </c>
      <c r="AA178" s="18">
        <v>0</v>
      </c>
      <c r="AB178" s="18"/>
      <c r="AC178" s="18"/>
      <c r="AD178" s="18"/>
      <c r="AE178" s="18">
        <v>260</v>
      </c>
      <c r="AF178" s="18">
        <v>390</v>
      </c>
      <c r="AG178" s="18" t="s">
        <v>172</v>
      </c>
      <c r="AH178" s="18" t="s">
        <v>41</v>
      </c>
      <c r="AI178" s="18" t="s">
        <v>41</v>
      </c>
      <c r="AJ178" s="18">
        <v>1</v>
      </c>
      <c r="AK178" s="18" t="s">
        <v>1566</v>
      </c>
      <c r="AL178" s="19" t="s">
        <v>41</v>
      </c>
    </row>
    <row r="179" spans="1:38">
      <c r="A179" s="17" t="s">
        <v>624</v>
      </c>
      <c r="B179" s="18" t="s">
        <v>38</v>
      </c>
      <c r="C179" s="18">
        <v>1</v>
      </c>
      <c r="D179" s="18" t="s">
        <v>625</v>
      </c>
      <c r="E179" s="18" t="s">
        <v>626</v>
      </c>
      <c r="F179" s="18" t="s">
        <v>41</v>
      </c>
      <c r="G179" s="18" t="s">
        <v>627</v>
      </c>
      <c r="H179" s="18">
        <v>28</v>
      </c>
      <c r="I179" s="18">
        <v>880</v>
      </c>
      <c r="J179" s="18">
        <v>6600</v>
      </c>
      <c r="K179" s="18">
        <v>10200</v>
      </c>
      <c r="L179" s="18">
        <v>0</v>
      </c>
      <c r="M179" s="18">
        <v>0</v>
      </c>
      <c r="N179" s="18">
        <v>0</v>
      </c>
      <c r="O179" s="18">
        <v>67</v>
      </c>
      <c r="P179" s="18">
        <v>3700</v>
      </c>
      <c r="Q179" s="18">
        <f>#REF!/#REF!</f>
        <v>4.2045454545454541</v>
      </c>
      <c r="R179" s="18"/>
      <c r="S179" s="18"/>
      <c r="T179" s="18"/>
      <c r="U179" s="18"/>
      <c r="V179" s="18">
        <v>1</v>
      </c>
      <c r="W179" s="18"/>
      <c r="X179" s="18"/>
      <c r="Y179" s="18"/>
      <c r="Z179" s="18">
        <v>259</v>
      </c>
      <c r="AA179" s="18">
        <v>700</v>
      </c>
      <c r="AB179" s="18"/>
      <c r="AC179" s="18">
        <v>375</v>
      </c>
      <c r="AD179" s="18"/>
      <c r="AE179" s="18">
        <v>500</v>
      </c>
      <c r="AF179" s="18">
        <v>750</v>
      </c>
      <c r="AG179" s="18" t="s">
        <v>41</v>
      </c>
      <c r="AH179" s="18" t="s">
        <v>489</v>
      </c>
      <c r="AI179" s="18" t="s">
        <v>41</v>
      </c>
      <c r="AJ179" s="18">
        <v>1</v>
      </c>
      <c r="AK179" s="18" t="s">
        <v>1423</v>
      </c>
      <c r="AL179" s="19" t="s">
        <v>41</v>
      </c>
    </row>
    <row r="180" spans="1:38">
      <c r="A180" s="17" t="s">
        <v>1105</v>
      </c>
      <c r="B180" s="18" t="s">
        <v>806</v>
      </c>
      <c r="C180" s="18">
        <v>1</v>
      </c>
      <c r="D180" s="18" t="s">
        <v>1106</v>
      </c>
      <c r="E180" s="18" t="s">
        <v>619</v>
      </c>
      <c r="F180" s="18" t="s">
        <v>41</v>
      </c>
      <c r="G180" s="18" t="s">
        <v>391</v>
      </c>
      <c r="H180" s="18">
        <v>51</v>
      </c>
      <c r="I180" s="18">
        <v>80</v>
      </c>
      <c r="J180" s="18">
        <v>850</v>
      </c>
      <c r="K180" s="18">
        <v>1750</v>
      </c>
      <c r="L180" s="18">
        <v>0</v>
      </c>
      <c r="M180" s="18">
        <v>0</v>
      </c>
      <c r="N180" s="18">
        <v>0</v>
      </c>
      <c r="O180" s="18">
        <v>0</v>
      </c>
      <c r="P180" s="18">
        <v>335</v>
      </c>
      <c r="Q180" s="18">
        <f>#REF!/#REF!</f>
        <v>4.1875</v>
      </c>
      <c r="R180" s="18"/>
      <c r="S180" s="18"/>
      <c r="T180" s="18"/>
      <c r="U180" s="18"/>
      <c r="V180" s="18"/>
      <c r="W180" s="18"/>
      <c r="X180" s="18"/>
      <c r="Y180" s="18">
        <v>1</v>
      </c>
      <c r="Z180" s="18">
        <v>68</v>
      </c>
      <c r="AA180" s="18">
        <v>765</v>
      </c>
      <c r="AB180" s="18"/>
      <c r="AC180" s="18"/>
      <c r="AD180" s="18"/>
      <c r="AE180" s="18">
        <v>455</v>
      </c>
      <c r="AF180" s="18">
        <v>700</v>
      </c>
      <c r="AG180" s="18" t="s">
        <v>41</v>
      </c>
      <c r="AH180" s="18" t="s">
        <v>88</v>
      </c>
      <c r="AI180" s="18" t="s">
        <v>41</v>
      </c>
      <c r="AJ180" s="18">
        <v>1</v>
      </c>
      <c r="AK180" s="18" t="s">
        <v>1614</v>
      </c>
      <c r="AL180" s="19" t="s">
        <v>41</v>
      </c>
    </row>
    <row r="181" spans="1:38">
      <c r="A181" s="17" t="s">
        <v>152</v>
      </c>
      <c r="B181" s="18" t="s">
        <v>38</v>
      </c>
      <c r="C181" s="18">
        <v>1</v>
      </c>
      <c r="D181" s="18" t="s">
        <v>153</v>
      </c>
      <c r="E181" s="18" t="s">
        <v>154</v>
      </c>
      <c r="F181" s="18" t="s">
        <v>41</v>
      </c>
      <c r="G181" s="18" t="s">
        <v>155</v>
      </c>
      <c r="H181" s="18">
        <v>62</v>
      </c>
      <c r="I181" s="18">
        <v>400</v>
      </c>
      <c r="J181" s="18">
        <v>4300</v>
      </c>
      <c r="K181" s="18">
        <v>9100</v>
      </c>
      <c r="L181" s="18">
        <v>0</v>
      </c>
      <c r="M181" s="18">
        <v>0</v>
      </c>
      <c r="N181" s="18">
        <v>1000</v>
      </c>
      <c r="O181" s="18">
        <v>0</v>
      </c>
      <c r="P181" s="18">
        <v>1670</v>
      </c>
      <c r="Q181" s="18">
        <f>#REF!/#REF!</f>
        <v>4.1749999999999998</v>
      </c>
      <c r="R181" s="18"/>
      <c r="S181" s="18"/>
      <c r="T181" s="18"/>
      <c r="U181" s="18"/>
      <c r="V181" s="18"/>
      <c r="W181" s="18"/>
      <c r="X181" s="18"/>
      <c r="Y181" s="18">
        <v>1</v>
      </c>
      <c r="Z181" s="18">
        <v>0</v>
      </c>
      <c r="AA181" s="18">
        <v>0</v>
      </c>
      <c r="AB181" s="18"/>
      <c r="AC181" s="18"/>
      <c r="AD181" s="18"/>
      <c r="AE181" s="18">
        <v>358</v>
      </c>
      <c r="AF181" s="18">
        <v>536</v>
      </c>
      <c r="AG181" s="18" t="s">
        <v>156</v>
      </c>
      <c r="AH181" s="18" t="s">
        <v>41</v>
      </c>
      <c r="AI181" s="18" t="s">
        <v>41</v>
      </c>
      <c r="AJ181" s="18">
        <v>1</v>
      </c>
      <c r="AK181" s="18" t="s">
        <v>1299</v>
      </c>
      <c r="AL181" s="19" t="s">
        <v>41</v>
      </c>
    </row>
    <row r="182" spans="1:38">
      <c r="A182" s="17" t="s">
        <v>318</v>
      </c>
      <c r="B182" s="18" t="s">
        <v>38</v>
      </c>
      <c r="C182" s="18">
        <v>2</v>
      </c>
      <c r="D182" s="18" t="s">
        <v>153</v>
      </c>
      <c r="E182" s="18" t="s">
        <v>154</v>
      </c>
      <c r="F182" s="18" t="s">
        <v>41</v>
      </c>
      <c r="G182" s="18" t="s">
        <v>155</v>
      </c>
      <c r="H182" s="18">
        <v>59</v>
      </c>
      <c r="I182" s="18">
        <v>400</v>
      </c>
      <c r="J182" s="18">
        <v>4300</v>
      </c>
      <c r="K182" s="18">
        <v>9100</v>
      </c>
      <c r="L182" s="18">
        <v>0</v>
      </c>
      <c r="M182" s="18">
        <v>0</v>
      </c>
      <c r="N182" s="18">
        <v>1000</v>
      </c>
      <c r="O182" s="18">
        <v>0</v>
      </c>
      <c r="P182" s="18">
        <v>1670</v>
      </c>
      <c r="Q182" s="18">
        <f>#REF!/#REF!</f>
        <v>4.1749999999999998</v>
      </c>
      <c r="R182" s="18"/>
      <c r="S182" s="18"/>
      <c r="T182" s="18"/>
      <c r="U182" s="18"/>
      <c r="V182" s="18"/>
      <c r="W182" s="18"/>
      <c r="X182" s="18"/>
      <c r="Y182" s="18">
        <v>1</v>
      </c>
      <c r="Z182" s="18">
        <v>0</v>
      </c>
      <c r="AA182" s="18">
        <v>0</v>
      </c>
      <c r="AB182" s="18"/>
      <c r="AC182" s="18"/>
      <c r="AD182" s="18"/>
      <c r="AE182" s="18">
        <v>358</v>
      </c>
      <c r="AF182" s="18">
        <v>536</v>
      </c>
      <c r="AG182" s="18" t="s">
        <v>156</v>
      </c>
      <c r="AH182" s="18" t="s">
        <v>41</v>
      </c>
      <c r="AI182" s="18" t="s">
        <v>41</v>
      </c>
      <c r="AJ182" s="18">
        <v>1</v>
      </c>
      <c r="AK182" s="18" t="s">
        <v>1338</v>
      </c>
      <c r="AL182" s="19" t="s">
        <v>41</v>
      </c>
    </row>
    <row r="183" spans="1:38">
      <c r="A183" s="17" t="s">
        <v>952</v>
      </c>
      <c r="B183" s="18" t="s">
        <v>806</v>
      </c>
      <c r="C183" s="18">
        <v>1</v>
      </c>
      <c r="D183" s="18" t="s">
        <v>351</v>
      </c>
      <c r="E183" s="18" t="s">
        <v>352</v>
      </c>
      <c r="F183" s="18" t="s">
        <v>41</v>
      </c>
      <c r="G183" s="18" t="s">
        <v>353</v>
      </c>
      <c r="H183" s="18">
        <v>40</v>
      </c>
      <c r="I183" s="18">
        <v>900</v>
      </c>
      <c r="J183" s="18">
        <v>3000</v>
      </c>
      <c r="K183" s="18">
        <v>11000</v>
      </c>
      <c r="L183" s="18">
        <v>0</v>
      </c>
      <c r="M183" s="18">
        <v>0</v>
      </c>
      <c r="N183" s="18">
        <v>100</v>
      </c>
      <c r="O183" s="18">
        <v>0</v>
      </c>
      <c r="P183" s="18">
        <v>3750</v>
      </c>
      <c r="Q183" s="18">
        <f>#REF!/#REF!</f>
        <v>4.166666666666667</v>
      </c>
      <c r="R183" s="18"/>
      <c r="S183" s="18"/>
      <c r="T183" s="18"/>
      <c r="U183" s="18"/>
      <c r="V183" s="18"/>
      <c r="W183" s="18"/>
      <c r="X183" s="18"/>
      <c r="Y183" s="18">
        <v>1</v>
      </c>
      <c r="Z183" s="18">
        <v>0</v>
      </c>
      <c r="AA183" s="18">
        <v>0</v>
      </c>
      <c r="AB183" s="18"/>
      <c r="AC183" s="18"/>
      <c r="AD183" s="18"/>
      <c r="AE183" s="18">
        <v>312</v>
      </c>
      <c r="AF183" s="18">
        <v>468</v>
      </c>
      <c r="AG183" s="18" t="s">
        <v>41</v>
      </c>
      <c r="AH183" s="18" t="s">
        <v>41</v>
      </c>
      <c r="AI183" s="18" t="s">
        <v>953</v>
      </c>
      <c r="AJ183" s="18">
        <v>1</v>
      </c>
      <c r="AK183" s="18" t="s">
        <v>1538</v>
      </c>
      <c r="AL183" s="19" t="s">
        <v>41</v>
      </c>
    </row>
    <row r="184" spans="1:38">
      <c r="A184" s="17" t="s">
        <v>997</v>
      </c>
      <c r="B184" s="18" t="s">
        <v>806</v>
      </c>
      <c r="C184" s="18">
        <v>1</v>
      </c>
      <c r="D184" s="18" t="s">
        <v>430</v>
      </c>
      <c r="E184" s="18" t="s">
        <v>352</v>
      </c>
      <c r="F184" s="18" t="s">
        <v>41</v>
      </c>
      <c r="G184" s="18" t="s">
        <v>353</v>
      </c>
      <c r="H184" s="18">
        <v>29</v>
      </c>
      <c r="I184" s="18">
        <v>900</v>
      </c>
      <c r="J184" s="18">
        <v>3000</v>
      </c>
      <c r="K184" s="18">
        <v>11000</v>
      </c>
      <c r="L184" s="18">
        <v>0</v>
      </c>
      <c r="M184" s="18">
        <v>0</v>
      </c>
      <c r="N184" s="18">
        <v>100</v>
      </c>
      <c r="O184" s="18">
        <v>0</v>
      </c>
      <c r="P184" s="18">
        <v>3750</v>
      </c>
      <c r="Q184" s="18">
        <f>#REF!/#REF!</f>
        <v>4.166666666666667</v>
      </c>
      <c r="R184" s="18"/>
      <c r="S184" s="18"/>
      <c r="T184" s="18"/>
      <c r="U184" s="18"/>
      <c r="V184" s="18"/>
      <c r="W184" s="18"/>
      <c r="X184" s="18"/>
      <c r="Y184" s="18">
        <v>1</v>
      </c>
      <c r="Z184" s="18">
        <v>0</v>
      </c>
      <c r="AA184" s="18">
        <v>0</v>
      </c>
      <c r="AB184" s="18"/>
      <c r="AC184" s="18"/>
      <c r="AD184" s="18"/>
      <c r="AE184" s="18">
        <v>312</v>
      </c>
      <c r="AF184" s="18">
        <v>468</v>
      </c>
      <c r="AG184" s="18" t="s">
        <v>41</v>
      </c>
      <c r="AH184" s="18" t="s">
        <v>41</v>
      </c>
      <c r="AI184" s="18" t="s">
        <v>953</v>
      </c>
      <c r="AJ184" s="18">
        <v>1</v>
      </c>
      <c r="AK184" s="18" t="s">
        <v>1560</v>
      </c>
      <c r="AL184" s="19" t="s">
        <v>41</v>
      </c>
    </row>
    <row r="185" spans="1:38">
      <c r="A185" s="17" t="s">
        <v>1218</v>
      </c>
      <c r="B185" s="18" t="s">
        <v>806</v>
      </c>
      <c r="C185" s="18">
        <v>1</v>
      </c>
      <c r="D185" s="18" t="s">
        <v>782</v>
      </c>
      <c r="E185" s="18" t="s">
        <v>783</v>
      </c>
      <c r="F185" s="18" t="s">
        <v>41</v>
      </c>
      <c r="G185" s="18" t="s">
        <v>784</v>
      </c>
      <c r="H185" s="18">
        <v>38</v>
      </c>
      <c r="I185" s="18">
        <v>720</v>
      </c>
      <c r="J185" s="18">
        <v>1800</v>
      </c>
      <c r="K185" s="18">
        <v>7150</v>
      </c>
      <c r="L185" s="18">
        <v>0</v>
      </c>
      <c r="M185" s="18">
        <v>0</v>
      </c>
      <c r="N185" s="18">
        <v>100</v>
      </c>
      <c r="O185" s="18">
        <v>0</v>
      </c>
      <c r="P185" s="18">
        <v>3000</v>
      </c>
      <c r="Q185" s="18">
        <f>#REF!/#REF!</f>
        <v>4.166666666666667</v>
      </c>
      <c r="R185" s="18"/>
      <c r="S185" s="18"/>
      <c r="T185" s="18"/>
      <c r="U185" s="18"/>
      <c r="V185" s="18"/>
      <c r="W185" s="18"/>
      <c r="X185" s="18"/>
      <c r="Y185" s="18">
        <v>1</v>
      </c>
      <c r="Z185" s="18">
        <v>0</v>
      </c>
      <c r="AA185" s="18">
        <v>0</v>
      </c>
      <c r="AB185" s="18"/>
      <c r="AC185" s="18"/>
      <c r="AD185" s="18"/>
      <c r="AE185" s="18">
        <v>279</v>
      </c>
      <c r="AF185" s="18">
        <v>419</v>
      </c>
      <c r="AG185" s="18" t="s">
        <v>41</v>
      </c>
      <c r="AH185" s="18" t="s">
        <v>41</v>
      </c>
      <c r="AI185" s="18" t="s">
        <v>1219</v>
      </c>
      <c r="AJ185" s="18">
        <v>1</v>
      </c>
      <c r="AK185" s="18" t="s">
        <v>1668</v>
      </c>
      <c r="AL185" s="19" t="s">
        <v>41</v>
      </c>
    </row>
    <row r="186" spans="1:38">
      <c r="A186" s="17" t="s">
        <v>617</v>
      </c>
      <c r="B186" s="18" t="s">
        <v>38</v>
      </c>
      <c r="C186" s="18">
        <v>1</v>
      </c>
      <c r="D186" s="18" t="s">
        <v>618</v>
      </c>
      <c r="E186" s="18" t="s">
        <v>619</v>
      </c>
      <c r="F186" s="18" t="s">
        <v>41</v>
      </c>
      <c r="G186" s="18" t="s">
        <v>391</v>
      </c>
      <c r="H186" s="18">
        <v>64</v>
      </c>
      <c r="I186" s="18">
        <v>80</v>
      </c>
      <c r="J186" s="18">
        <v>900</v>
      </c>
      <c r="K186" s="18">
        <v>1800</v>
      </c>
      <c r="L186" s="18">
        <v>0</v>
      </c>
      <c r="M186" s="18">
        <v>0</v>
      </c>
      <c r="N186" s="18">
        <v>0</v>
      </c>
      <c r="O186" s="18">
        <v>0</v>
      </c>
      <c r="P186" s="18">
        <v>330</v>
      </c>
      <c r="Q186" s="18">
        <f>#REF!/#REF!</f>
        <v>4.125</v>
      </c>
      <c r="R186" s="18"/>
      <c r="S186" s="18"/>
      <c r="T186" s="18"/>
      <c r="U186" s="18"/>
      <c r="V186" s="18"/>
      <c r="W186" s="18"/>
      <c r="X186" s="18"/>
      <c r="Y186" s="18">
        <v>1</v>
      </c>
      <c r="Z186" s="18">
        <v>68</v>
      </c>
      <c r="AA186" s="18">
        <v>765</v>
      </c>
      <c r="AB186" s="18"/>
      <c r="AC186" s="18"/>
      <c r="AD186" s="18"/>
      <c r="AE186" s="18">
        <v>455</v>
      </c>
      <c r="AF186" s="18">
        <v>700</v>
      </c>
      <c r="AG186" s="18" t="s">
        <v>41</v>
      </c>
      <c r="AH186" s="18" t="s">
        <v>88</v>
      </c>
      <c r="AI186" s="18" t="s">
        <v>41</v>
      </c>
      <c r="AJ186" s="18">
        <v>1</v>
      </c>
      <c r="AK186" s="18" t="s">
        <v>1421</v>
      </c>
      <c r="AL186" s="19" t="s">
        <v>41</v>
      </c>
    </row>
    <row r="187" spans="1:38">
      <c r="A187" s="17" t="s">
        <v>566</v>
      </c>
      <c r="B187" s="18" t="s">
        <v>38</v>
      </c>
      <c r="C187" s="18">
        <v>2</v>
      </c>
      <c r="D187" s="18" t="s">
        <v>567</v>
      </c>
      <c r="E187" s="18" t="s">
        <v>568</v>
      </c>
      <c r="F187" s="18" t="s">
        <v>41</v>
      </c>
      <c r="G187" s="18" t="s">
        <v>569</v>
      </c>
      <c r="H187" s="18">
        <v>48</v>
      </c>
      <c r="I187" s="18">
        <v>680</v>
      </c>
      <c r="J187" s="18">
        <v>14000</v>
      </c>
      <c r="K187" s="18">
        <v>15000</v>
      </c>
      <c r="L187" s="18">
        <v>0</v>
      </c>
      <c r="M187" s="18">
        <v>0</v>
      </c>
      <c r="N187" s="18">
        <v>0</v>
      </c>
      <c r="O187" s="18">
        <v>0</v>
      </c>
      <c r="P187" s="18">
        <v>2800</v>
      </c>
      <c r="Q187" s="18">
        <f>#REF!/#REF!</f>
        <v>4.117647058823529</v>
      </c>
      <c r="R187" s="18"/>
      <c r="S187" s="18"/>
      <c r="T187" s="18"/>
      <c r="U187" s="18"/>
      <c r="V187" s="18"/>
      <c r="W187" s="18"/>
      <c r="X187" s="18"/>
      <c r="Y187" s="18">
        <v>1</v>
      </c>
      <c r="Z187" s="18">
        <v>422</v>
      </c>
      <c r="AA187" s="18">
        <v>730</v>
      </c>
      <c r="AB187" s="18"/>
      <c r="AC187" s="18"/>
      <c r="AD187" s="18"/>
      <c r="AE187" s="18">
        <v>598</v>
      </c>
      <c r="AF187" s="18">
        <v>897</v>
      </c>
      <c r="AG187" s="18" t="s">
        <v>98</v>
      </c>
      <c r="AH187" s="18" t="s">
        <v>124</v>
      </c>
      <c r="AI187" s="18" t="s">
        <v>41</v>
      </c>
      <c r="AJ187" s="18">
        <v>1</v>
      </c>
      <c r="AK187" s="18" t="s">
        <v>1409</v>
      </c>
      <c r="AL187" s="19" t="s">
        <v>41</v>
      </c>
    </row>
    <row r="188" spans="1:38">
      <c r="A188" s="17" t="s">
        <v>1111</v>
      </c>
      <c r="B188" s="18" t="s">
        <v>806</v>
      </c>
      <c r="C188" s="18">
        <v>1</v>
      </c>
      <c r="D188" s="18" t="s">
        <v>1112</v>
      </c>
      <c r="E188" s="18" t="s">
        <v>626</v>
      </c>
      <c r="F188" s="18" t="s">
        <v>41</v>
      </c>
      <c r="G188" s="18" t="s">
        <v>627</v>
      </c>
      <c r="H188" s="18">
        <v>23</v>
      </c>
      <c r="I188" s="18">
        <v>960</v>
      </c>
      <c r="J188" s="18">
        <v>7200</v>
      </c>
      <c r="K188" s="18">
        <v>10600</v>
      </c>
      <c r="L188" s="18">
        <v>0</v>
      </c>
      <c r="M188" s="18">
        <v>0</v>
      </c>
      <c r="N188" s="18">
        <v>0</v>
      </c>
      <c r="O188" s="18">
        <v>62</v>
      </c>
      <c r="P188" s="18">
        <v>3950</v>
      </c>
      <c r="Q188" s="18">
        <f>#REF!/#REF!</f>
        <v>4.114583333333333</v>
      </c>
      <c r="R188" s="18"/>
      <c r="S188" s="18"/>
      <c r="T188" s="18"/>
      <c r="U188" s="18"/>
      <c r="V188" s="18">
        <v>1</v>
      </c>
      <c r="W188" s="18"/>
      <c r="X188" s="18"/>
      <c r="Y188" s="18"/>
      <c r="Z188" s="18">
        <v>272</v>
      </c>
      <c r="AA188" s="18">
        <v>710</v>
      </c>
      <c r="AB188" s="18"/>
      <c r="AC188" s="18">
        <v>400</v>
      </c>
      <c r="AD188" s="18"/>
      <c r="AE188" s="18">
        <v>500</v>
      </c>
      <c r="AF188" s="18">
        <v>750</v>
      </c>
      <c r="AG188" s="18" t="s">
        <v>41</v>
      </c>
      <c r="AH188" s="18" t="s">
        <v>489</v>
      </c>
      <c r="AI188" s="18" t="s">
        <v>41</v>
      </c>
      <c r="AJ188" s="18">
        <v>1</v>
      </c>
      <c r="AK188" s="18" t="s">
        <v>1616</v>
      </c>
      <c r="AL188" s="19" t="s">
        <v>41</v>
      </c>
    </row>
    <row r="189" spans="1:38">
      <c r="A189" s="17" t="s">
        <v>1212</v>
      </c>
      <c r="B189" s="18" t="s">
        <v>806</v>
      </c>
      <c r="C189" s="18">
        <v>2</v>
      </c>
      <c r="D189" s="18" t="s">
        <v>1213</v>
      </c>
      <c r="E189" s="18" t="s">
        <v>1214</v>
      </c>
      <c r="F189" s="18" t="s">
        <v>41</v>
      </c>
      <c r="G189" s="18" t="s">
        <v>1215</v>
      </c>
      <c r="H189" s="18">
        <v>50</v>
      </c>
      <c r="I189" s="18">
        <v>730</v>
      </c>
      <c r="J189" s="18">
        <v>14000</v>
      </c>
      <c r="K189" s="18">
        <v>15000</v>
      </c>
      <c r="L189" s="18">
        <v>0</v>
      </c>
      <c r="M189" s="18">
        <v>0</v>
      </c>
      <c r="N189" s="18">
        <v>0</v>
      </c>
      <c r="O189" s="18">
        <v>0</v>
      </c>
      <c r="P189" s="18">
        <v>3000</v>
      </c>
      <c r="Q189" s="18">
        <f>#REF!/#REF!</f>
        <v>4.1095890410958908</v>
      </c>
      <c r="R189" s="18"/>
      <c r="S189" s="18"/>
      <c r="T189" s="18"/>
      <c r="U189" s="18"/>
      <c r="V189" s="18"/>
      <c r="W189" s="18"/>
      <c r="X189" s="18"/>
      <c r="Y189" s="18">
        <v>1</v>
      </c>
      <c r="Z189" s="18">
        <v>413</v>
      </c>
      <c r="AA189" s="18">
        <v>730</v>
      </c>
      <c r="AB189" s="18"/>
      <c r="AC189" s="18"/>
      <c r="AD189" s="18"/>
      <c r="AE189" s="18">
        <v>546</v>
      </c>
      <c r="AF189" s="18">
        <v>819</v>
      </c>
      <c r="AG189" s="18" t="s">
        <v>41</v>
      </c>
      <c r="AH189" s="18" t="s">
        <v>88</v>
      </c>
      <c r="AI189" s="18" t="s">
        <v>41</v>
      </c>
      <c r="AJ189" s="18">
        <v>1</v>
      </c>
      <c r="AK189" s="18" t="s">
        <v>1666</v>
      </c>
      <c r="AL189" s="19" t="s">
        <v>41</v>
      </c>
    </row>
    <row r="190" spans="1:38">
      <c r="A190" s="17" t="s">
        <v>711</v>
      </c>
      <c r="B190" s="18" t="s">
        <v>38</v>
      </c>
      <c r="C190" s="18">
        <v>2</v>
      </c>
      <c r="D190" s="18" t="s">
        <v>712</v>
      </c>
      <c r="E190" s="18" t="s">
        <v>713</v>
      </c>
      <c r="F190" s="18" t="s">
        <v>41</v>
      </c>
      <c r="G190" s="18" t="s">
        <v>714</v>
      </c>
      <c r="H190" s="18">
        <v>23</v>
      </c>
      <c r="I190" s="18">
        <v>460</v>
      </c>
      <c r="J190" s="18">
        <v>38000</v>
      </c>
      <c r="K190" s="18">
        <v>32000</v>
      </c>
      <c r="L190" s="18">
        <v>0</v>
      </c>
      <c r="M190" s="18">
        <v>0</v>
      </c>
      <c r="N190" s="18">
        <v>0</v>
      </c>
      <c r="O190" s="18">
        <v>300</v>
      </c>
      <c r="P190" s="18">
        <v>1880</v>
      </c>
      <c r="Q190" s="18">
        <f>#REF!/#REF!</f>
        <v>4.0869565217391308</v>
      </c>
      <c r="R190" s="18"/>
      <c r="S190" s="18"/>
      <c r="T190" s="18">
        <v>1</v>
      </c>
      <c r="U190" s="18"/>
      <c r="V190" s="18"/>
      <c r="W190" s="18"/>
      <c r="X190" s="18"/>
      <c r="Y190" s="18"/>
      <c r="Z190" s="18">
        <v>0</v>
      </c>
      <c r="AA190" s="18">
        <v>1280</v>
      </c>
      <c r="AB190" s="18"/>
      <c r="AC190" s="18"/>
      <c r="AD190" s="18"/>
      <c r="AE190" s="18">
        <v>390</v>
      </c>
      <c r="AF190" s="18">
        <v>585</v>
      </c>
      <c r="AG190" s="18" t="s">
        <v>424</v>
      </c>
      <c r="AH190" s="18" t="s">
        <v>715</v>
      </c>
      <c r="AI190" s="18" t="s">
        <v>41</v>
      </c>
      <c r="AJ190" s="18">
        <v>1</v>
      </c>
      <c r="AK190" s="18" t="s">
        <v>1445</v>
      </c>
      <c r="AL190" s="19" t="s">
        <v>41</v>
      </c>
    </row>
    <row r="191" spans="1:38">
      <c r="A191" s="17" t="s">
        <v>781</v>
      </c>
      <c r="B191" s="18" t="s">
        <v>38</v>
      </c>
      <c r="C191" s="18">
        <v>1</v>
      </c>
      <c r="D191" s="18" t="s">
        <v>782</v>
      </c>
      <c r="E191" s="18" t="s">
        <v>783</v>
      </c>
      <c r="F191" s="18" t="s">
        <v>41</v>
      </c>
      <c r="G191" s="18" t="s">
        <v>784</v>
      </c>
      <c r="H191" s="18">
        <v>46</v>
      </c>
      <c r="I191" s="18">
        <v>740</v>
      </c>
      <c r="J191" s="18">
        <v>1800</v>
      </c>
      <c r="K191" s="18">
        <v>7200</v>
      </c>
      <c r="L191" s="18">
        <v>0</v>
      </c>
      <c r="M191" s="18">
        <v>0</v>
      </c>
      <c r="N191" s="18">
        <v>100</v>
      </c>
      <c r="O191" s="18">
        <v>0</v>
      </c>
      <c r="P191" s="18">
        <v>3000</v>
      </c>
      <c r="Q191" s="18">
        <f>#REF!/#REF!</f>
        <v>4.0540540540540544</v>
      </c>
      <c r="R191" s="18"/>
      <c r="S191" s="18"/>
      <c r="T191" s="18"/>
      <c r="U191" s="18"/>
      <c r="V191" s="18"/>
      <c r="W191" s="18"/>
      <c r="X191" s="18"/>
      <c r="Y191" s="18">
        <v>1</v>
      </c>
      <c r="Z191" s="18">
        <v>0</v>
      </c>
      <c r="AA191" s="18">
        <v>0</v>
      </c>
      <c r="AB191" s="18"/>
      <c r="AC191" s="18"/>
      <c r="AD191" s="18"/>
      <c r="AE191" s="18">
        <v>273</v>
      </c>
      <c r="AF191" s="18">
        <v>410</v>
      </c>
      <c r="AG191" s="18" t="s">
        <v>41</v>
      </c>
      <c r="AH191" s="18" t="s">
        <v>41</v>
      </c>
      <c r="AI191" s="18" t="s">
        <v>785</v>
      </c>
      <c r="AJ191" s="18">
        <v>1</v>
      </c>
      <c r="AK191" s="18" t="s">
        <v>1467</v>
      </c>
      <c r="AL191" s="19" t="s">
        <v>41</v>
      </c>
    </row>
    <row r="192" spans="1:38">
      <c r="A192" s="17" t="s">
        <v>938</v>
      </c>
      <c r="B192" s="18" t="s">
        <v>806</v>
      </c>
      <c r="C192" s="18">
        <v>2</v>
      </c>
      <c r="D192" s="18" t="s">
        <v>939</v>
      </c>
      <c r="E192" s="18" t="s">
        <v>250</v>
      </c>
      <c r="F192" s="18" t="s">
        <v>41</v>
      </c>
      <c r="G192" s="18" t="s">
        <v>940</v>
      </c>
      <c r="H192" s="18">
        <v>41</v>
      </c>
      <c r="I192" s="18">
        <v>210</v>
      </c>
      <c r="J192" s="18">
        <v>3800</v>
      </c>
      <c r="K192" s="18">
        <v>6500</v>
      </c>
      <c r="L192" s="18">
        <v>0</v>
      </c>
      <c r="M192" s="18">
        <v>15</v>
      </c>
      <c r="N192" s="18">
        <v>125</v>
      </c>
      <c r="O192" s="18">
        <v>90</v>
      </c>
      <c r="P192" s="18">
        <v>830</v>
      </c>
      <c r="Q192" s="18">
        <f>#REF!/#REF!</f>
        <v>3.9523809523809526</v>
      </c>
      <c r="R192" s="18"/>
      <c r="S192" s="18"/>
      <c r="T192" s="18"/>
      <c r="U192" s="18"/>
      <c r="V192" s="18"/>
      <c r="W192" s="18"/>
      <c r="X192" s="18"/>
      <c r="Y192" s="18"/>
      <c r="Z192" s="18">
        <v>0</v>
      </c>
      <c r="AA192" s="18">
        <v>0</v>
      </c>
      <c r="AB192" s="18"/>
      <c r="AC192" s="18"/>
      <c r="AD192" s="18"/>
      <c r="AE192" s="18">
        <v>520</v>
      </c>
      <c r="AF192" s="18">
        <v>780</v>
      </c>
      <c r="AG192" s="18" t="s">
        <v>41</v>
      </c>
      <c r="AH192" s="18" t="s">
        <v>41</v>
      </c>
      <c r="AI192" s="18" t="s">
        <v>941</v>
      </c>
      <c r="AJ192" s="18">
        <v>1</v>
      </c>
      <c r="AK192" s="18" t="s">
        <v>1532</v>
      </c>
      <c r="AL192" s="19" t="s">
        <v>41</v>
      </c>
    </row>
    <row r="193" spans="1:38">
      <c r="A193" s="17" t="s">
        <v>1216</v>
      </c>
      <c r="B193" s="18" t="s">
        <v>806</v>
      </c>
      <c r="C193" s="18">
        <v>2</v>
      </c>
      <c r="D193" s="18" t="s">
        <v>1217</v>
      </c>
      <c r="E193" s="18" t="s">
        <v>504</v>
      </c>
      <c r="F193" s="18" t="s">
        <v>41</v>
      </c>
      <c r="G193" s="18" t="s">
        <v>505</v>
      </c>
      <c r="H193" s="18">
        <v>31</v>
      </c>
      <c r="I193" s="18">
        <v>99</v>
      </c>
      <c r="J193" s="18">
        <v>1350</v>
      </c>
      <c r="K193" s="18">
        <v>3950</v>
      </c>
      <c r="L193" s="18">
        <v>0</v>
      </c>
      <c r="M193" s="18">
        <v>0</v>
      </c>
      <c r="N193" s="18">
        <v>0</v>
      </c>
      <c r="O193" s="18">
        <v>45</v>
      </c>
      <c r="P193" s="18">
        <v>390</v>
      </c>
      <c r="Q193" s="18">
        <f>#REF!/#REF!</f>
        <v>3.9393939393939394</v>
      </c>
      <c r="R193" s="18"/>
      <c r="S193" s="18"/>
      <c r="T193" s="18"/>
      <c r="U193" s="18"/>
      <c r="V193" s="18"/>
      <c r="W193" s="18"/>
      <c r="X193" s="18"/>
      <c r="Y193" s="18"/>
      <c r="Z193" s="18">
        <v>0</v>
      </c>
      <c r="AA193" s="18">
        <v>0</v>
      </c>
      <c r="AB193" s="18"/>
      <c r="AC193" s="18"/>
      <c r="AD193" s="18">
        <v>2200</v>
      </c>
      <c r="AE193" s="18">
        <v>925</v>
      </c>
      <c r="AF193" s="18">
        <v>1388</v>
      </c>
      <c r="AG193" s="18" t="s">
        <v>48</v>
      </c>
      <c r="AH193" s="18" t="s">
        <v>41</v>
      </c>
      <c r="AI193" s="18" t="s">
        <v>41</v>
      </c>
      <c r="AJ193" s="18">
        <v>1</v>
      </c>
      <c r="AK193" s="18" t="s">
        <v>1667</v>
      </c>
      <c r="AL193" s="19" t="s">
        <v>41</v>
      </c>
    </row>
    <row r="194" spans="1:38">
      <c r="A194" s="17" t="s">
        <v>235</v>
      </c>
      <c r="B194" s="18" t="s">
        <v>38</v>
      </c>
      <c r="C194" s="18">
        <v>1</v>
      </c>
      <c r="D194" s="18" t="s">
        <v>236</v>
      </c>
      <c r="E194" s="18" t="s">
        <v>237</v>
      </c>
      <c r="F194" s="18" t="s">
        <v>41</v>
      </c>
      <c r="G194" s="18" t="s">
        <v>238</v>
      </c>
      <c r="H194" s="18">
        <v>18</v>
      </c>
      <c r="I194" s="18">
        <v>340</v>
      </c>
      <c r="J194" s="18">
        <v>1600</v>
      </c>
      <c r="K194" s="18">
        <v>4650</v>
      </c>
      <c r="L194" s="18">
        <v>0</v>
      </c>
      <c r="M194" s="18">
        <v>0</v>
      </c>
      <c r="N194" s="18">
        <v>0</v>
      </c>
      <c r="O194" s="18">
        <v>0</v>
      </c>
      <c r="P194" s="18">
        <v>1330</v>
      </c>
      <c r="Q194" s="18">
        <f>#REF!/#REF!</f>
        <v>3.9117647058823528</v>
      </c>
      <c r="R194" s="18"/>
      <c r="S194" s="18"/>
      <c r="T194" s="18"/>
      <c r="U194" s="18"/>
      <c r="V194" s="18"/>
      <c r="W194" s="18"/>
      <c r="X194" s="18"/>
      <c r="Y194" s="18">
        <v>1</v>
      </c>
      <c r="Z194" s="18">
        <v>159</v>
      </c>
      <c r="AA194" s="18">
        <v>430</v>
      </c>
      <c r="AB194" s="18">
        <v>8</v>
      </c>
      <c r="AC194" s="18"/>
      <c r="AD194" s="18"/>
      <c r="AE194" s="18">
        <v>440</v>
      </c>
      <c r="AF194" s="18">
        <v>660</v>
      </c>
      <c r="AG194" s="18" t="s">
        <v>239</v>
      </c>
      <c r="AH194" s="18" t="s">
        <v>240</v>
      </c>
      <c r="AI194" s="18" t="s">
        <v>41</v>
      </c>
      <c r="AJ194" s="18">
        <v>1</v>
      </c>
      <c r="AK194" s="18" t="s">
        <v>1320</v>
      </c>
      <c r="AL194" s="19" t="s">
        <v>41</v>
      </c>
    </row>
    <row r="195" spans="1:38">
      <c r="A195" s="17" t="s">
        <v>50</v>
      </c>
      <c r="B195" s="18" t="s">
        <v>38</v>
      </c>
      <c r="C195" s="18">
        <v>2</v>
      </c>
      <c r="D195" s="18" t="s">
        <v>51</v>
      </c>
      <c r="E195" s="18" t="s">
        <v>52</v>
      </c>
      <c r="F195" s="18" t="s">
        <v>41</v>
      </c>
      <c r="G195" s="18" t="s">
        <v>53</v>
      </c>
      <c r="H195" s="18">
        <v>30</v>
      </c>
      <c r="I195" s="18">
        <v>1000</v>
      </c>
      <c r="J195" s="18">
        <v>12000</v>
      </c>
      <c r="K195" s="18">
        <v>15000</v>
      </c>
      <c r="L195" s="18">
        <v>0</v>
      </c>
      <c r="M195" s="18">
        <v>0</v>
      </c>
      <c r="N195" s="18">
        <v>0</v>
      </c>
      <c r="O195" s="18">
        <v>63</v>
      </c>
      <c r="P195" s="18">
        <v>3900</v>
      </c>
      <c r="Q195" s="18">
        <f>#REF!/#REF!</f>
        <v>3.9</v>
      </c>
      <c r="R195" s="18"/>
      <c r="S195" s="18"/>
      <c r="T195" s="18"/>
      <c r="U195" s="18"/>
      <c r="V195" s="18">
        <v>1</v>
      </c>
      <c r="W195" s="18"/>
      <c r="X195" s="18"/>
      <c r="Y195" s="18"/>
      <c r="Z195" s="18">
        <v>430</v>
      </c>
      <c r="AA195" s="18">
        <v>840</v>
      </c>
      <c r="AB195" s="18"/>
      <c r="AC195" s="18"/>
      <c r="AD195" s="18"/>
      <c r="AE195" s="18">
        <v>475</v>
      </c>
      <c r="AF195" s="18">
        <v>900</v>
      </c>
      <c r="AG195" s="18" t="s">
        <v>41</v>
      </c>
      <c r="AH195" s="18" t="s">
        <v>54</v>
      </c>
      <c r="AI195" s="18" t="s">
        <v>41</v>
      </c>
      <c r="AJ195" s="18">
        <v>1</v>
      </c>
      <c r="AK195" s="18" t="s">
        <v>1274</v>
      </c>
      <c r="AL195" s="19" t="s">
        <v>41</v>
      </c>
    </row>
    <row r="196" spans="1:38">
      <c r="A196" s="17" t="s">
        <v>839</v>
      </c>
      <c r="B196" s="18" t="s">
        <v>806</v>
      </c>
      <c r="C196" s="18">
        <v>2</v>
      </c>
      <c r="D196" s="18" t="s">
        <v>840</v>
      </c>
      <c r="E196" s="18" t="s">
        <v>52</v>
      </c>
      <c r="F196" s="18" t="s">
        <v>41</v>
      </c>
      <c r="G196" s="18" t="s">
        <v>53</v>
      </c>
      <c r="H196" s="18">
        <v>30</v>
      </c>
      <c r="I196" s="18">
        <v>1000</v>
      </c>
      <c r="J196" s="18">
        <v>12000</v>
      </c>
      <c r="K196" s="18">
        <v>15000</v>
      </c>
      <c r="L196" s="18">
        <v>0</v>
      </c>
      <c r="M196" s="18">
        <v>0</v>
      </c>
      <c r="N196" s="18">
        <v>0</v>
      </c>
      <c r="O196" s="18">
        <v>60</v>
      </c>
      <c r="P196" s="18">
        <v>3900</v>
      </c>
      <c r="Q196" s="18">
        <f>#REF!/#REF!</f>
        <v>3.9</v>
      </c>
      <c r="R196" s="18"/>
      <c r="S196" s="18"/>
      <c r="T196" s="18"/>
      <c r="U196" s="18"/>
      <c r="V196" s="18">
        <v>1</v>
      </c>
      <c r="W196" s="18"/>
      <c r="X196" s="18"/>
      <c r="Y196" s="18"/>
      <c r="Z196" s="18">
        <v>429</v>
      </c>
      <c r="AA196" s="18">
        <v>870</v>
      </c>
      <c r="AB196" s="18"/>
      <c r="AC196" s="18"/>
      <c r="AD196" s="18"/>
      <c r="AE196" s="18">
        <v>465</v>
      </c>
      <c r="AF196" s="18">
        <v>900</v>
      </c>
      <c r="AG196" s="18" t="s">
        <v>41</v>
      </c>
      <c r="AH196" s="18" t="s">
        <v>54</v>
      </c>
      <c r="AI196" s="18" t="s">
        <v>41</v>
      </c>
      <c r="AJ196" s="18">
        <v>1</v>
      </c>
      <c r="AK196" s="18" t="s">
        <v>1494</v>
      </c>
      <c r="AL196" s="19" t="s">
        <v>41</v>
      </c>
    </row>
    <row r="197" spans="1:38">
      <c r="A197" s="17" t="s">
        <v>169</v>
      </c>
      <c r="B197" s="18" t="s">
        <v>38</v>
      </c>
      <c r="C197" s="18">
        <v>1</v>
      </c>
      <c r="D197" s="18" t="s">
        <v>170</v>
      </c>
      <c r="E197" s="18" t="s">
        <v>1302</v>
      </c>
      <c r="F197" s="18" t="s">
        <v>41</v>
      </c>
      <c r="G197" s="18" t="s">
        <v>171</v>
      </c>
      <c r="H197" s="18">
        <v>23</v>
      </c>
      <c r="I197" s="18">
        <v>68</v>
      </c>
      <c r="J197" s="18">
        <v>1300</v>
      </c>
      <c r="K197" s="18">
        <v>3850</v>
      </c>
      <c r="L197" s="18">
        <v>0</v>
      </c>
      <c r="M197" s="18">
        <v>0</v>
      </c>
      <c r="N197" s="18">
        <v>0</v>
      </c>
      <c r="O197" s="18">
        <v>207</v>
      </c>
      <c r="P197" s="18">
        <v>265</v>
      </c>
      <c r="Q197" s="18">
        <f>#REF!/#REF!</f>
        <v>3.8970588235294117</v>
      </c>
      <c r="R197" s="18"/>
      <c r="S197" s="18"/>
      <c r="T197" s="18">
        <v>1</v>
      </c>
      <c r="U197" s="18"/>
      <c r="V197" s="18"/>
      <c r="W197" s="18"/>
      <c r="X197" s="18"/>
      <c r="Y197" s="18"/>
      <c r="Z197" s="18">
        <v>0</v>
      </c>
      <c r="AA197" s="18">
        <v>0</v>
      </c>
      <c r="AB197" s="18"/>
      <c r="AC197" s="18"/>
      <c r="AD197" s="18"/>
      <c r="AE197" s="18">
        <v>260</v>
      </c>
      <c r="AF197" s="18">
        <v>390</v>
      </c>
      <c r="AG197" s="18" t="s">
        <v>172</v>
      </c>
      <c r="AH197" s="18" t="s">
        <v>41</v>
      </c>
      <c r="AI197" s="18" t="s">
        <v>41</v>
      </c>
      <c r="AJ197" s="18">
        <v>1</v>
      </c>
      <c r="AK197" s="18" t="s">
        <v>1303</v>
      </c>
      <c r="AL197" s="19" t="s">
        <v>41</v>
      </c>
    </row>
    <row r="198" spans="1:38">
      <c r="A198" s="17" t="s">
        <v>1048</v>
      </c>
      <c r="B198" s="18" t="s">
        <v>806</v>
      </c>
      <c r="C198" s="18">
        <v>1</v>
      </c>
      <c r="D198" s="18" t="s">
        <v>523</v>
      </c>
      <c r="E198" s="18" t="s">
        <v>524</v>
      </c>
      <c r="F198" s="18" t="s">
        <v>41</v>
      </c>
      <c r="G198" s="18" t="s">
        <v>525</v>
      </c>
      <c r="H198" s="18">
        <v>22</v>
      </c>
      <c r="I198" s="18">
        <v>50</v>
      </c>
      <c r="J198" s="18">
        <v>500</v>
      </c>
      <c r="K198" s="18">
        <v>1870</v>
      </c>
      <c r="L198" s="18">
        <v>0</v>
      </c>
      <c r="M198" s="18">
        <v>0</v>
      </c>
      <c r="N198" s="18">
        <v>0</v>
      </c>
      <c r="O198" s="18">
        <v>0</v>
      </c>
      <c r="P198" s="18">
        <v>194</v>
      </c>
      <c r="Q198" s="18">
        <f>#REF!/#REF!</f>
        <v>3.88</v>
      </c>
      <c r="R198" s="18">
        <v>1</v>
      </c>
      <c r="S198" s="18"/>
      <c r="T198" s="18"/>
      <c r="U198" s="18"/>
      <c r="V198" s="18"/>
      <c r="W198" s="18"/>
      <c r="X198" s="18"/>
      <c r="Y198" s="18">
        <v>1</v>
      </c>
      <c r="Z198" s="18">
        <v>0</v>
      </c>
      <c r="AA198" s="18">
        <v>0</v>
      </c>
      <c r="AB198" s="18"/>
      <c r="AC198" s="18"/>
      <c r="AD198" s="18"/>
      <c r="AE198" s="18">
        <v>273</v>
      </c>
      <c r="AF198" s="18">
        <v>410</v>
      </c>
      <c r="AG198" s="18" t="s">
        <v>41</v>
      </c>
      <c r="AH198" s="18" t="s">
        <v>41</v>
      </c>
      <c r="AI198" s="18" t="s">
        <v>41</v>
      </c>
      <c r="AJ198" s="18">
        <v>1</v>
      </c>
      <c r="AK198" s="18" t="s">
        <v>1584</v>
      </c>
      <c r="AL198" s="19" t="s">
        <v>41</v>
      </c>
    </row>
    <row r="199" spans="1:38">
      <c r="A199" s="17" t="s">
        <v>482</v>
      </c>
      <c r="B199" s="18" t="s">
        <v>38</v>
      </c>
      <c r="C199" s="18">
        <v>2</v>
      </c>
      <c r="D199" s="18" t="s">
        <v>1384</v>
      </c>
      <c r="E199" s="18" t="s">
        <v>483</v>
      </c>
      <c r="F199" s="18" t="s">
        <v>41</v>
      </c>
      <c r="G199" s="18" t="s">
        <v>484</v>
      </c>
      <c r="H199" s="18">
        <v>24</v>
      </c>
      <c r="I199" s="18">
        <v>570</v>
      </c>
      <c r="J199" s="18">
        <v>11400</v>
      </c>
      <c r="K199" s="18">
        <v>11400</v>
      </c>
      <c r="L199" s="18">
        <v>0</v>
      </c>
      <c r="M199" s="18">
        <v>0</v>
      </c>
      <c r="N199" s="18">
        <v>0</v>
      </c>
      <c r="O199" s="18">
        <v>99</v>
      </c>
      <c r="P199" s="18">
        <v>2200</v>
      </c>
      <c r="Q199" s="18">
        <f>#REF!/#REF!</f>
        <v>3.8596491228070176</v>
      </c>
      <c r="R199" s="18"/>
      <c r="S199" s="18"/>
      <c r="T199" s="18"/>
      <c r="U199" s="18"/>
      <c r="V199" s="18">
        <v>1</v>
      </c>
      <c r="W199" s="18"/>
      <c r="X199" s="18"/>
      <c r="Y199" s="18"/>
      <c r="Z199" s="18">
        <v>319</v>
      </c>
      <c r="AA199" s="18">
        <v>710</v>
      </c>
      <c r="AB199" s="18"/>
      <c r="AC199" s="18"/>
      <c r="AD199" s="18">
        <v>750</v>
      </c>
      <c r="AE199" s="18">
        <v>500</v>
      </c>
      <c r="AF199" s="18">
        <v>750</v>
      </c>
      <c r="AG199" s="18" t="s">
        <v>41</v>
      </c>
      <c r="AH199" s="18" t="s">
        <v>473</v>
      </c>
      <c r="AI199" s="18" t="s">
        <v>41</v>
      </c>
      <c r="AJ199" s="18">
        <v>1</v>
      </c>
      <c r="AK199" s="18" t="s">
        <v>1385</v>
      </c>
      <c r="AL199" s="19" t="s">
        <v>41</v>
      </c>
    </row>
    <row r="200" spans="1:38">
      <c r="A200" s="17" t="s">
        <v>983</v>
      </c>
      <c r="B200" s="18" t="s">
        <v>806</v>
      </c>
      <c r="C200" s="18">
        <v>1</v>
      </c>
      <c r="D200" s="18" t="s">
        <v>401</v>
      </c>
      <c r="E200" s="18" t="s">
        <v>402</v>
      </c>
      <c r="F200" s="18" t="s">
        <v>41</v>
      </c>
      <c r="G200" s="18" t="s">
        <v>403</v>
      </c>
      <c r="H200" s="18">
        <v>60</v>
      </c>
      <c r="I200" s="18">
        <v>540</v>
      </c>
      <c r="J200" s="18">
        <v>13000</v>
      </c>
      <c r="K200" s="18">
        <v>12900</v>
      </c>
      <c r="L200" s="18">
        <v>0</v>
      </c>
      <c r="M200" s="18">
        <v>300</v>
      </c>
      <c r="N200" s="18">
        <v>0</v>
      </c>
      <c r="O200" s="18">
        <v>0</v>
      </c>
      <c r="P200" s="18">
        <v>2050</v>
      </c>
      <c r="Q200" s="18">
        <f>#REF!/#REF!</f>
        <v>3.7962962962962963</v>
      </c>
      <c r="R200" s="18"/>
      <c r="S200" s="18"/>
      <c r="T200" s="18"/>
      <c r="U200" s="18"/>
      <c r="V200" s="18"/>
      <c r="W200" s="18"/>
      <c r="X200" s="18"/>
      <c r="Y200" s="18">
        <v>1</v>
      </c>
      <c r="Z200" s="18">
        <v>0</v>
      </c>
      <c r="AA200" s="18">
        <v>0</v>
      </c>
      <c r="AB200" s="18"/>
      <c r="AC200" s="18"/>
      <c r="AD200" s="18"/>
      <c r="AE200" s="18">
        <v>273</v>
      </c>
      <c r="AF200" s="18">
        <v>410</v>
      </c>
      <c r="AG200" s="18" t="s">
        <v>41</v>
      </c>
      <c r="AH200" s="18" t="s">
        <v>41</v>
      </c>
      <c r="AI200" s="18" t="s">
        <v>41</v>
      </c>
      <c r="AJ200" s="18">
        <v>1</v>
      </c>
      <c r="AK200" s="18" t="s">
        <v>1555</v>
      </c>
      <c r="AL200" s="19" t="s">
        <v>41</v>
      </c>
    </row>
    <row r="201" spans="1:38">
      <c r="A201" s="17" t="s">
        <v>1202</v>
      </c>
      <c r="B201" s="18" t="s">
        <v>806</v>
      </c>
      <c r="C201" s="18">
        <v>1</v>
      </c>
      <c r="D201" s="18" t="s">
        <v>401</v>
      </c>
      <c r="E201" s="18" t="s">
        <v>402</v>
      </c>
      <c r="F201" s="18" t="s">
        <v>41</v>
      </c>
      <c r="G201" s="18" t="s">
        <v>403</v>
      </c>
      <c r="H201" s="18">
        <v>48</v>
      </c>
      <c r="I201" s="18">
        <v>540</v>
      </c>
      <c r="J201" s="18">
        <v>13000</v>
      </c>
      <c r="K201" s="18">
        <v>12900</v>
      </c>
      <c r="L201" s="18">
        <v>0</v>
      </c>
      <c r="M201" s="18">
        <v>300</v>
      </c>
      <c r="N201" s="18">
        <v>0</v>
      </c>
      <c r="O201" s="18">
        <v>0</v>
      </c>
      <c r="P201" s="18">
        <v>2050</v>
      </c>
      <c r="Q201" s="18">
        <f>#REF!/#REF!</f>
        <v>3.7962962962962963</v>
      </c>
      <c r="R201" s="18"/>
      <c r="S201" s="18">
        <v>1</v>
      </c>
      <c r="T201" s="18"/>
      <c r="U201" s="18"/>
      <c r="V201" s="18"/>
      <c r="W201" s="18"/>
      <c r="X201" s="18"/>
      <c r="Y201" s="18">
        <v>1</v>
      </c>
      <c r="Z201" s="18">
        <v>0</v>
      </c>
      <c r="AA201" s="18">
        <v>0</v>
      </c>
      <c r="AB201" s="18"/>
      <c r="AC201" s="18"/>
      <c r="AD201" s="18"/>
      <c r="AE201" s="18">
        <v>273</v>
      </c>
      <c r="AF201" s="18">
        <v>410</v>
      </c>
      <c r="AG201" s="18" t="s">
        <v>41</v>
      </c>
      <c r="AH201" s="18" t="s">
        <v>41</v>
      </c>
      <c r="AI201" s="18" t="s">
        <v>41</v>
      </c>
      <c r="AJ201" s="18">
        <v>1</v>
      </c>
      <c r="AK201" s="18" t="s">
        <v>1659</v>
      </c>
      <c r="AL201" s="19" t="s">
        <v>41</v>
      </c>
    </row>
    <row r="202" spans="1:38">
      <c r="A202" s="17" t="s">
        <v>1016</v>
      </c>
      <c r="B202" s="18" t="s">
        <v>806</v>
      </c>
      <c r="C202" s="18">
        <v>1</v>
      </c>
      <c r="D202" s="18" t="s">
        <v>449</v>
      </c>
      <c r="E202" s="18" t="s">
        <v>450</v>
      </c>
      <c r="F202" s="18" t="s">
        <v>41</v>
      </c>
      <c r="G202" s="18" t="s">
        <v>451</v>
      </c>
      <c r="H202" s="18">
        <v>77</v>
      </c>
      <c r="I202" s="18">
        <v>660</v>
      </c>
      <c r="J202" s="18">
        <v>16000</v>
      </c>
      <c r="K202" s="18">
        <v>27700</v>
      </c>
      <c r="L202" s="18">
        <v>0</v>
      </c>
      <c r="M202" s="18">
        <v>0</v>
      </c>
      <c r="N202" s="18">
        <v>0</v>
      </c>
      <c r="O202" s="18">
        <v>0</v>
      </c>
      <c r="P202" s="18">
        <v>2500</v>
      </c>
      <c r="Q202" s="18">
        <f>#REF!/#REF!</f>
        <v>3.7878787878787881</v>
      </c>
      <c r="R202" s="18"/>
      <c r="S202" s="18"/>
      <c r="T202" s="18"/>
      <c r="U202" s="18"/>
      <c r="V202" s="18"/>
      <c r="W202" s="18"/>
      <c r="X202" s="18"/>
      <c r="Y202" s="18">
        <v>1</v>
      </c>
      <c r="Z202" s="18">
        <v>1</v>
      </c>
      <c r="AA202" s="18">
        <v>32000</v>
      </c>
      <c r="AB202" s="18"/>
      <c r="AC202" s="18"/>
      <c r="AD202" s="18"/>
      <c r="AE202" s="18">
        <v>494</v>
      </c>
      <c r="AF202" s="18">
        <v>741</v>
      </c>
      <c r="AG202" s="18" t="s">
        <v>424</v>
      </c>
      <c r="AH202" s="18" t="s">
        <v>104</v>
      </c>
      <c r="AI202" s="18" t="s">
        <v>41</v>
      </c>
      <c r="AJ202" s="18">
        <v>1</v>
      </c>
      <c r="AK202" s="18" t="s">
        <v>1570</v>
      </c>
      <c r="AL202" s="19" t="s">
        <v>41</v>
      </c>
    </row>
    <row r="203" spans="1:38">
      <c r="A203" s="17" t="s">
        <v>1206</v>
      </c>
      <c r="B203" s="18" t="s">
        <v>806</v>
      </c>
      <c r="C203" s="18">
        <v>1</v>
      </c>
      <c r="D203" s="18" t="s">
        <v>1207</v>
      </c>
      <c r="E203" s="18" t="s">
        <v>1302</v>
      </c>
      <c r="F203" s="18" t="s">
        <v>41</v>
      </c>
      <c r="G203" s="18" t="s">
        <v>171</v>
      </c>
      <c r="H203" s="18">
        <v>22</v>
      </c>
      <c r="I203" s="18">
        <v>74</v>
      </c>
      <c r="J203" s="18">
        <v>1450</v>
      </c>
      <c r="K203" s="18">
        <v>4120</v>
      </c>
      <c r="L203" s="18">
        <v>0</v>
      </c>
      <c r="M203" s="18">
        <v>0</v>
      </c>
      <c r="N203" s="18">
        <v>0</v>
      </c>
      <c r="O203" s="18">
        <v>198</v>
      </c>
      <c r="P203" s="18">
        <v>280</v>
      </c>
      <c r="Q203" s="18">
        <f>#REF!/#REF!</f>
        <v>3.7837837837837838</v>
      </c>
      <c r="R203" s="18"/>
      <c r="S203" s="18"/>
      <c r="T203" s="18">
        <v>1</v>
      </c>
      <c r="U203" s="18"/>
      <c r="V203" s="18"/>
      <c r="W203" s="18"/>
      <c r="X203" s="18"/>
      <c r="Y203" s="18"/>
      <c r="Z203" s="18">
        <v>0</v>
      </c>
      <c r="AA203" s="18">
        <v>0</v>
      </c>
      <c r="AB203" s="18"/>
      <c r="AC203" s="18"/>
      <c r="AD203" s="18"/>
      <c r="AE203" s="18">
        <v>260</v>
      </c>
      <c r="AF203" s="18">
        <v>390</v>
      </c>
      <c r="AG203" s="18" t="s">
        <v>172</v>
      </c>
      <c r="AH203" s="18" t="s">
        <v>41</v>
      </c>
      <c r="AI203" s="18" t="s">
        <v>41</v>
      </c>
      <c r="AJ203" s="18">
        <v>1</v>
      </c>
      <c r="AK203" s="18" t="s">
        <v>1663</v>
      </c>
      <c r="AL203" s="19" t="s">
        <v>41</v>
      </c>
    </row>
    <row r="204" spans="1:38">
      <c r="A204" s="17" t="s">
        <v>522</v>
      </c>
      <c r="B204" s="18" t="s">
        <v>38</v>
      </c>
      <c r="C204" s="18">
        <v>1</v>
      </c>
      <c r="D204" s="18" t="s">
        <v>523</v>
      </c>
      <c r="E204" s="18" t="s">
        <v>524</v>
      </c>
      <c r="F204" s="18" t="s">
        <v>41</v>
      </c>
      <c r="G204" s="18" t="s">
        <v>525</v>
      </c>
      <c r="H204" s="18">
        <v>41</v>
      </c>
      <c r="I204" s="18">
        <v>50</v>
      </c>
      <c r="J204" s="18">
        <v>500</v>
      </c>
      <c r="K204" s="18">
        <v>1800</v>
      </c>
      <c r="L204" s="18">
        <v>0</v>
      </c>
      <c r="M204" s="18">
        <v>0</v>
      </c>
      <c r="N204" s="18">
        <v>0</v>
      </c>
      <c r="O204" s="18">
        <v>0</v>
      </c>
      <c r="P204" s="18">
        <v>189</v>
      </c>
      <c r="Q204" s="18">
        <f>#REF!/#REF!</f>
        <v>3.78</v>
      </c>
      <c r="R204" s="18">
        <v>1</v>
      </c>
      <c r="S204" s="18"/>
      <c r="T204" s="18"/>
      <c r="U204" s="18"/>
      <c r="V204" s="18"/>
      <c r="W204" s="18"/>
      <c r="X204" s="18"/>
      <c r="Y204" s="18">
        <v>1</v>
      </c>
      <c r="Z204" s="18">
        <v>0</v>
      </c>
      <c r="AA204" s="18">
        <v>0</v>
      </c>
      <c r="AB204" s="18"/>
      <c r="AC204" s="18"/>
      <c r="AD204" s="18"/>
      <c r="AE204" s="18">
        <v>273</v>
      </c>
      <c r="AF204" s="18">
        <v>410</v>
      </c>
      <c r="AG204" s="18" t="s">
        <v>41</v>
      </c>
      <c r="AH204" s="18" t="s">
        <v>41</v>
      </c>
      <c r="AI204" s="18" t="s">
        <v>41</v>
      </c>
      <c r="AJ204" s="18">
        <v>1</v>
      </c>
      <c r="AK204" s="18" t="s">
        <v>1395</v>
      </c>
      <c r="AL204" s="19" t="s">
        <v>41</v>
      </c>
    </row>
    <row r="205" spans="1:38">
      <c r="A205" s="17" t="s">
        <v>1121</v>
      </c>
      <c r="B205" s="18" t="s">
        <v>806</v>
      </c>
      <c r="C205" s="18">
        <v>2</v>
      </c>
      <c r="D205" s="18" t="s">
        <v>1122</v>
      </c>
      <c r="E205" s="18" t="s">
        <v>1123</v>
      </c>
      <c r="F205" s="18" t="s">
        <v>41</v>
      </c>
      <c r="G205" s="18" t="s">
        <v>647</v>
      </c>
      <c r="H205" s="18">
        <v>16</v>
      </c>
      <c r="I205" s="18">
        <v>750</v>
      </c>
      <c r="J205" s="18">
        <v>6700</v>
      </c>
      <c r="K205" s="18">
        <v>12000</v>
      </c>
      <c r="L205" s="18">
        <v>0</v>
      </c>
      <c r="M205" s="18">
        <v>0</v>
      </c>
      <c r="N205" s="18">
        <v>0</v>
      </c>
      <c r="O205" s="18">
        <v>0</v>
      </c>
      <c r="P205" s="18">
        <v>2800</v>
      </c>
      <c r="Q205" s="18">
        <f>#REF!/#REF!</f>
        <v>3.7333333333333334</v>
      </c>
      <c r="R205" s="18"/>
      <c r="S205" s="18"/>
      <c r="T205" s="18"/>
      <c r="U205" s="18"/>
      <c r="V205" s="18"/>
      <c r="W205" s="18"/>
      <c r="X205" s="18"/>
      <c r="Y205" s="18">
        <v>1</v>
      </c>
      <c r="Z205" s="18">
        <v>0</v>
      </c>
      <c r="AA205" s="18">
        <v>2000</v>
      </c>
      <c r="AB205" s="18"/>
      <c r="AC205" s="18"/>
      <c r="AD205" s="18"/>
      <c r="AE205" s="18">
        <v>225</v>
      </c>
      <c r="AF205" s="18">
        <v>338</v>
      </c>
      <c r="AG205" s="18" t="s">
        <v>648</v>
      </c>
      <c r="AH205" s="18" t="s">
        <v>41</v>
      </c>
      <c r="AI205" s="18" t="s">
        <v>41</v>
      </c>
      <c r="AJ205" s="18">
        <v>1</v>
      </c>
      <c r="AK205" s="18" t="s">
        <v>1620</v>
      </c>
      <c r="AL205" s="19" t="s">
        <v>41</v>
      </c>
    </row>
    <row r="206" spans="1:38">
      <c r="A206" s="17" t="s">
        <v>644</v>
      </c>
      <c r="B206" s="18" t="s">
        <v>38</v>
      </c>
      <c r="C206" s="18">
        <v>2</v>
      </c>
      <c r="D206" s="18" t="s">
        <v>645</v>
      </c>
      <c r="E206" s="18" t="s">
        <v>646</v>
      </c>
      <c r="F206" s="18" t="s">
        <v>41</v>
      </c>
      <c r="G206" s="18" t="s">
        <v>647</v>
      </c>
      <c r="H206" s="18">
        <v>50</v>
      </c>
      <c r="I206" s="18">
        <v>710</v>
      </c>
      <c r="J206" s="18">
        <v>7100</v>
      </c>
      <c r="K206" s="18">
        <v>11900</v>
      </c>
      <c r="L206" s="18">
        <v>0</v>
      </c>
      <c r="M206" s="18">
        <v>0</v>
      </c>
      <c r="N206" s="18">
        <v>0</v>
      </c>
      <c r="O206" s="18">
        <v>0</v>
      </c>
      <c r="P206" s="18">
        <v>2650</v>
      </c>
      <c r="Q206" s="18">
        <f>#REF!/#REF!</f>
        <v>3.732394366197183</v>
      </c>
      <c r="R206" s="18"/>
      <c r="S206" s="18"/>
      <c r="T206" s="18"/>
      <c r="U206" s="18"/>
      <c r="V206" s="18"/>
      <c r="W206" s="18"/>
      <c r="X206" s="18"/>
      <c r="Y206" s="18">
        <v>1</v>
      </c>
      <c r="Z206" s="18">
        <v>0</v>
      </c>
      <c r="AA206" s="18">
        <v>2000</v>
      </c>
      <c r="AB206" s="18"/>
      <c r="AC206" s="18"/>
      <c r="AD206" s="18"/>
      <c r="AE206" s="18">
        <v>240</v>
      </c>
      <c r="AF206" s="18">
        <v>360</v>
      </c>
      <c r="AG206" s="18" t="s">
        <v>648</v>
      </c>
      <c r="AH206" s="18" t="s">
        <v>41</v>
      </c>
      <c r="AI206" s="18" t="s">
        <v>41</v>
      </c>
      <c r="AJ206" s="18">
        <v>1</v>
      </c>
      <c r="AK206" s="18" t="s">
        <v>1428</v>
      </c>
      <c r="AL206" s="19" t="s">
        <v>41</v>
      </c>
    </row>
    <row r="207" spans="1:38">
      <c r="A207" s="17" t="s">
        <v>68</v>
      </c>
      <c r="B207" s="18" t="s">
        <v>38</v>
      </c>
      <c r="C207" s="18">
        <v>2</v>
      </c>
      <c r="D207" s="18" t="s">
        <v>69</v>
      </c>
      <c r="E207" s="18" t="s">
        <v>57</v>
      </c>
      <c r="F207" s="18" t="s">
        <v>41</v>
      </c>
      <c r="G207" s="18" t="s">
        <v>70</v>
      </c>
      <c r="H207" s="18">
        <v>32</v>
      </c>
      <c r="I207" s="18">
        <v>550</v>
      </c>
      <c r="J207" s="18">
        <v>6800</v>
      </c>
      <c r="K207" s="18">
        <v>12400</v>
      </c>
      <c r="L207" s="18">
        <v>0</v>
      </c>
      <c r="M207" s="18">
        <v>20</v>
      </c>
      <c r="N207" s="18">
        <v>250</v>
      </c>
      <c r="O207" s="18">
        <v>53</v>
      </c>
      <c r="P207" s="18">
        <v>2050</v>
      </c>
      <c r="Q207" s="18">
        <f>#REF!/#REF!</f>
        <v>3.7272727272727271</v>
      </c>
      <c r="R207" s="18"/>
      <c r="S207" s="18"/>
      <c r="T207" s="18"/>
      <c r="U207" s="18"/>
      <c r="V207" s="18"/>
      <c r="W207" s="18"/>
      <c r="X207" s="18"/>
      <c r="Y207" s="18"/>
      <c r="Z207" s="18">
        <v>0</v>
      </c>
      <c r="AA207" s="18">
        <v>0</v>
      </c>
      <c r="AB207" s="18"/>
      <c r="AC207" s="18"/>
      <c r="AD207" s="18">
        <v>50</v>
      </c>
      <c r="AE207" s="18">
        <v>290</v>
      </c>
      <c r="AF207" s="18">
        <v>435</v>
      </c>
      <c r="AG207" s="18" t="s">
        <v>41</v>
      </c>
      <c r="AH207" s="18" t="s">
        <v>41</v>
      </c>
      <c r="AI207" s="18" t="s">
        <v>71</v>
      </c>
      <c r="AJ207" s="18">
        <v>1</v>
      </c>
      <c r="AK207" s="18" t="s">
        <v>1278</v>
      </c>
      <c r="AL207" s="19" t="s">
        <v>41</v>
      </c>
    </row>
    <row r="208" spans="1:38">
      <c r="A208" s="17" t="s">
        <v>350</v>
      </c>
      <c r="B208" s="18" t="s">
        <v>38</v>
      </c>
      <c r="C208" s="18">
        <v>1</v>
      </c>
      <c r="D208" s="18" t="s">
        <v>351</v>
      </c>
      <c r="E208" s="18" t="s">
        <v>352</v>
      </c>
      <c r="F208" s="18" t="s">
        <v>41</v>
      </c>
      <c r="G208" s="18" t="s">
        <v>353</v>
      </c>
      <c r="H208" s="18">
        <v>28</v>
      </c>
      <c r="I208" s="18">
        <v>900</v>
      </c>
      <c r="J208" s="18">
        <v>3000</v>
      </c>
      <c r="K208" s="18">
        <v>11000</v>
      </c>
      <c r="L208" s="18">
        <v>0</v>
      </c>
      <c r="M208" s="18">
        <v>0</v>
      </c>
      <c r="N208" s="18">
        <v>100</v>
      </c>
      <c r="O208" s="18">
        <v>0</v>
      </c>
      <c r="P208" s="18">
        <v>3350</v>
      </c>
      <c r="Q208" s="18">
        <f>#REF!/#REF!</f>
        <v>3.7222222222222223</v>
      </c>
      <c r="R208" s="18"/>
      <c r="S208" s="18"/>
      <c r="T208" s="18"/>
      <c r="U208" s="18"/>
      <c r="V208" s="18"/>
      <c r="W208" s="18"/>
      <c r="X208" s="18"/>
      <c r="Y208" s="18">
        <v>1</v>
      </c>
      <c r="Z208" s="18">
        <v>0</v>
      </c>
      <c r="AA208" s="18">
        <v>0</v>
      </c>
      <c r="AB208" s="18"/>
      <c r="AC208" s="18"/>
      <c r="AD208" s="18"/>
      <c r="AE208" s="18">
        <v>286</v>
      </c>
      <c r="AF208" s="18">
        <v>429</v>
      </c>
      <c r="AG208" s="18" t="s">
        <v>41</v>
      </c>
      <c r="AH208" s="18" t="s">
        <v>41</v>
      </c>
      <c r="AI208" s="18" t="s">
        <v>354</v>
      </c>
      <c r="AJ208" s="18">
        <v>1</v>
      </c>
      <c r="AK208" s="18" t="s">
        <v>1347</v>
      </c>
      <c r="AL208" s="19" t="s">
        <v>41</v>
      </c>
    </row>
    <row r="209" spans="1:38">
      <c r="A209" s="17" t="s">
        <v>429</v>
      </c>
      <c r="B209" s="18" t="s">
        <v>38</v>
      </c>
      <c r="C209" s="18">
        <v>1</v>
      </c>
      <c r="D209" s="18" t="s">
        <v>430</v>
      </c>
      <c r="E209" s="18" t="s">
        <v>352</v>
      </c>
      <c r="F209" s="18" t="s">
        <v>41</v>
      </c>
      <c r="G209" s="18" t="s">
        <v>353</v>
      </c>
      <c r="H209" s="18">
        <v>32</v>
      </c>
      <c r="I209" s="18">
        <v>900</v>
      </c>
      <c r="J209" s="18">
        <v>3000</v>
      </c>
      <c r="K209" s="18">
        <v>11000</v>
      </c>
      <c r="L209" s="18">
        <v>0</v>
      </c>
      <c r="M209" s="18">
        <v>0</v>
      </c>
      <c r="N209" s="18">
        <v>100</v>
      </c>
      <c r="O209" s="18">
        <v>0</v>
      </c>
      <c r="P209" s="18">
        <v>3350</v>
      </c>
      <c r="Q209" s="18">
        <f>#REF!/#REF!</f>
        <v>3.7222222222222223</v>
      </c>
      <c r="R209" s="18"/>
      <c r="S209" s="18"/>
      <c r="T209" s="18"/>
      <c r="U209" s="18"/>
      <c r="V209" s="18"/>
      <c r="W209" s="18"/>
      <c r="X209" s="18"/>
      <c r="Y209" s="18">
        <v>1</v>
      </c>
      <c r="Z209" s="18">
        <v>0</v>
      </c>
      <c r="AA209" s="18">
        <v>0</v>
      </c>
      <c r="AB209" s="18"/>
      <c r="AC209" s="18"/>
      <c r="AD209" s="18"/>
      <c r="AE209" s="18">
        <v>286</v>
      </c>
      <c r="AF209" s="18">
        <v>429</v>
      </c>
      <c r="AG209" s="18" t="s">
        <v>41</v>
      </c>
      <c r="AH209" s="18" t="s">
        <v>41</v>
      </c>
      <c r="AI209" s="18" t="s">
        <v>354</v>
      </c>
      <c r="AJ209" s="18">
        <v>1</v>
      </c>
      <c r="AK209" s="18" t="s">
        <v>1367</v>
      </c>
      <c r="AL209" s="19" t="s">
        <v>41</v>
      </c>
    </row>
    <row r="210" spans="1:38">
      <c r="A210" s="17" t="s">
        <v>817</v>
      </c>
      <c r="B210" s="18" t="s">
        <v>806</v>
      </c>
      <c r="C210" s="18">
        <v>2</v>
      </c>
      <c r="D210" s="18" t="s">
        <v>69</v>
      </c>
      <c r="E210" s="18" t="s">
        <v>57</v>
      </c>
      <c r="F210" s="18" t="s">
        <v>41</v>
      </c>
      <c r="G210" s="18" t="s">
        <v>70</v>
      </c>
      <c r="H210" s="18">
        <v>37</v>
      </c>
      <c r="I210" s="18">
        <v>580</v>
      </c>
      <c r="J210" s="18">
        <v>7000</v>
      </c>
      <c r="K210" s="18">
        <v>12900</v>
      </c>
      <c r="L210" s="18">
        <v>0</v>
      </c>
      <c r="M210" s="18">
        <v>20</v>
      </c>
      <c r="N210" s="18">
        <v>250</v>
      </c>
      <c r="O210" s="18">
        <v>50</v>
      </c>
      <c r="P210" s="18">
        <v>2150</v>
      </c>
      <c r="Q210" s="18">
        <f>#REF!/#REF!</f>
        <v>3.7068965517241379</v>
      </c>
      <c r="R210" s="18"/>
      <c r="S210" s="18"/>
      <c r="T210" s="18"/>
      <c r="U210" s="18"/>
      <c r="V210" s="18"/>
      <c r="W210" s="18"/>
      <c r="X210" s="18"/>
      <c r="Y210" s="18"/>
      <c r="Z210" s="18">
        <v>0</v>
      </c>
      <c r="AA210" s="18">
        <v>0</v>
      </c>
      <c r="AB210" s="18"/>
      <c r="AC210" s="18"/>
      <c r="AD210" s="18">
        <v>50</v>
      </c>
      <c r="AE210" s="18">
        <v>295</v>
      </c>
      <c r="AF210" s="18">
        <v>443</v>
      </c>
      <c r="AG210" s="18" t="s">
        <v>41</v>
      </c>
      <c r="AH210" s="18" t="s">
        <v>41</v>
      </c>
      <c r="AI210" s="18" t="s">
        <v>818</v>
      </c>
      <c r="AJ210" s="18">
        <v>1</v>
      </c>
      <c r="AK210" s="18" t="s">
        <v>1479</v>
      </c>
      <c r="AL210" s="19" t="s">
        <v>41</v>
      </c>
    </row>
    <row r="211" spans="1:38">
      <c r="A211" s="17" t="s">
        <v>338</v>
      </c>
      <c r="B211" s="18" t="s">
        <v>38</v>
      </c>
      <c r="C211" s="18">
        <v>1</v>
      </c>
      <c r="D211" s="18" t="s">
        <v>339</v>
      </c>
      <c r="E211" s="18" t="s">
        <v>340</v>
      </c>
      <c r="F211" s="18" t="s">
        <v>41</v>
      </c>
      <c r="G211" s="18" t="s">
        <v>341</v>
      </c>
      <c r="H211" s="18">
        <v>21</v>
      </c>
      <c r="I211" s="18">
        <v>360</v>
      </c>
      <c r="J211" s="18">
        <v>5700</v>
      </c>
      <c r="K211" s="18">
        <v>5800</v>
      </c>
      <c r="L211" s="18">
        <v>0</v>
      </c>
      <c r="M211" s="18">
        <v>0</v>
      </c>
      <c r="N211" s="18">
        <v>0</v>
      </c>
      <c r="O211" s="18">
        <v>0</v>
      </c>
      <c r="P211" s="18">
        <v>1330</v>
      </c>
      <c r="Q211" s="18">
        <f>#REF!/#REF!</f>
        <v>3.6944444444444446</v>
      </c>
      <c r="R211" s="18"/>
      <c r="S211" s="18"/>
      <c r="T211" s="18"/>
      <c r="U211" s="18"/>
      <c r="V211" s="18"/>
      <c r="W211" s="18"/>
      <c r="X211" s="18"/>
      <c r="Y211" s="18">
        <v>1</v>
      </c>
      <c r="Z211" s="18">
        <v>176</v>
      </c>
      <c r="AA211" s="18">
        <v>840</v>
      </c>
      <c r="AB211" s="18"/>
      <c r="AC211" s="18"/>
      <c r="AD211" s="18"/>
      <c r="AE211" s="18">
        <v>375</v>
      </c>
      <c r="AF211" s="18">
        <v>850</v>
      </c>
      <c r="AG211" s="18" t="s">
        <v>98</v>
      </c>
      <c r="AH211" s="18" t="s">
        <v>88</v>
      </c>
      <c r="AI211" s="18" t="s">
        <v>41</v>
      </c>
      <c r="AJ211" s="18">
        <v>1</v>
      </c>
      <c r="AK211" s="18" t="s">
        <v>1344</v>
      </c>
      <c r="AL211" s="19" t="s">
        <v>41</v>
      </c>
    </row>
    <row r="212" spans="1:38">
      <c r="A212" s="17" t="s">
        <v>448</v>
      </c>
      <c r="B212" s="18" t="s">
        <v>38</v>
      </c>
      <c r="C212" s="18">
        <v>1</v>
      </c>
      <c r="D212" s="18" t="s">
        <v>449</v>
      </c>
      <c r="E212" s="18" t="s">
        <v>450</v>
      </c>
      <c r="F212" s="18" t="s">
        <v>41</v>
      </c>
      <c r="G212" s="18" t="s">
        <v>451</v>
      </c>
      <c r="H212" s="18">
        <v>77</v>
      </c>
      <c r="I212" s="18">
        <v>640</v>
      </c>
      <c r="J212" s="18">
        <v>17000</v>
      </c>
      <c r="K212" s="18">
        <v>21800</v>
      </c>
      <c r="L212" s="18">
        <v>0</v>
      </c>
      <c r="M212" s="18">
        <v>0</v>
      </c>
      <c r="N212" s="18">
        <v>0</v>
      </c>
      <c r="O212" s="18">
        <v>0</v>
      </c>
      <c r="P212" s="18">
        <v>2350</v>
      </c>
      <c r="Q212" s="18">
        <f>#REF!/#REF!</f>
        <v>3.671875</v>
      </c>
      <c r="R212" s="18"/>
      <c r="S212" s="18"/>
      <c r="T212" s="18"/>
      <c r="U212" s="18"/>
      <c r="V212" s="18"/>
      <c r="W212" s="18"/>
      <c r="X212" s="18"/>
      <c r="Y212" s="18">
        <v>1</v>
      </c>
      <c r="Z212" s="18">
        <v>1</v>
      </c>
      <c r="AA212" s="18">
        <v>32000</v>
      </c>
      <c r="AB212" s="18"/>
      <c r="AC212" s="18"/>
      <c r="AD212" s="18"/>
      <c r="AE212" s="18">
        <v>494</v>
      </c>
      <c r="AF212" s="18">
        <v>741</v>
      </c>
      <c r="AG212" s="18" t="s">
        <v>424</v>
      </c>
      <c r="AH212" s="18" t="s">
        <v>104</v>
      </c>
      <c r="AI212" s="18" t="s">
        <v>41</v>
      </c>
      <c r="AJ212" s="18">
        <v>1</v>
      </c>
      <c r="AK212" s="18" t="s">
        <v>1376</v>
      </c>
      <c r="AL212" s="19" t="s">
        <v>41</v>
      </c>
    </row>
    <row r="213" spans="1:38">
      <c r="A213" s="17" t="s">
        <v>283</v>
      </c>
      <c r="B213" s="18" t="s">
        <v>38</v>
      </c>
      <c r="C213" s="18">
        <v>2</v>
      </c>
      <c r="D213" s="18" t="s">
        <v>284</v>
      </c>
      <c r="E213" s="18" t="s">
        <v>285</v>
      </c>
      <c r="F213" s="18" t="s">
        <v>41</v>
      </c>
      <c r="G213" s="18" t="s">
        <v>171</v>
      </c>
      <c r="H213" s="18">
        <v>26</v>
      </c>
      <c r="I213" s="18">
        <v>320</v>
      </c>
      <c r="J213" s="18">
        <v>6600</v>
      </c>
      <c r="K213" s="18">
        <v>16000</v>
      </c>
      <c r="L213" s="18">
        <v>0</v>
      </c>
      <c r="M213" s="18">
        <v>0</v>
      </c>
      <c r="N213" s="18">
        <v>0</v>
      </c>
      <c r="O213" s="18">
        <v>242</v>
      </c>
      <c r="P213" s="18">
        <v>1170</v>
      </c>
      <c r="Q213" s="18">
        <f>#REF!/#REF!</f>
        <v>3.65625</v>
      </c>
      <c r="R213" s="18"/>
      <c r="S213" s="18"/>
      <c r="T213" s="18">
        <v>1</v>
      </c>
      <c r="U213" s="18"/>
      <c r="V213" s="18"/>
      <c r="W213" s="18"/>
      <c r="X213" s="18"/>
      <c r="Y213" s="18"/>
      <c r="Z213" s="18">
        <v>0</v>
      </c>
      <c r="AA213" s="18">
        <v>520</v>
      </c>
      <c r="AB213" s="18"/>
      <c r="AC213" s="18"/>
      <c r="AD213" s="18"/>
      <c r="AE213" s="18">
        <v>318</v>
      </c>
      <c r="AF213" s="18">
        <v>477</v>
      </c>
      <c r="AG213" s="18" t="s">
        <v>286</v>
      </c>
      <c r="AH213" s="18" t="s">
        <v>287</v>
      </c>
      <c r="AI213" s="18" t="s">
        <v>41</v>
      </c>
      <c r="AJ213" s="18">
        <v>1</v>
      </c>
      <c r="AK213" s="18" t="s">
        <v>1330</v>
      </c>
      <c r="AL213" s="19" t="s">
        <v>41</v>
      </c>
    </row>
    <row r="214" spans="1:38">
      <c r="A214" s="17" t="s">
        <v>319</v>
      </c>
      <c r="B214" s="18" t="s">
        <v>38</v>
      </c>
      <c r="C214" s="18">
        <v>2</v>
      </c>
      <c r="D214" s="18" t="s">
        <v>320</v>
      </c>
      <c r="E214" s="18" t="s">
        <v>321</v>
      </c>
      <c r="F214" s="18" t="s">
        <v>41</v>
      </c>
      <c r="G214" s="18" t="s">
        <v>322</v>
      </c>
      <c r="H214" s="18">
        <v>37</v>
      </c>
      <c r="I214" s="18">
        <v>190</v>
      </c>
      <c r="J214" s="18">
        <v>4600</v>
      </c>
      <c r="K214" s="18">
        <v>3960</v>
      </c>
      <c r="L214" s="18">
        <v>0</v>
      </c>
      <c r="M214" s="18">
        <v>0</v>
      </c>
      <c r="N214" s="18">
        <v>0</v>
      </c>
      <c r="O214" s="18">
        <v>111</v>
      </c>
      <c r="P214" s="18">
        <v>690</v>
      </c>
      <c r="Q214" s="18">
        <f>#REF!/#REF!</f>
        <v>3.6315789473684212</v>
      </c>
      <c r="R214" s="18"/>
      <c r="S214" s="18"/>
      <c r="T214" s="18"/>
      <c r="U214" s="18"/>
      <c r="V214" s="18"/>
      <c r="W214" s="18"/>
      <c r="X214" s="18"/>
      <c r="Y214" s="18"/>
      <c r="Z214" s="18">
        <v>120</v>
      </c>
      <c r="AA214" s="18">
        <v>220</v>
      </c>
      <c r="AB214" s="18"/>
      <c r="AC214" s="18"/>
      <c r="AD214" s="18"/>
      <c r="AE214" s="18">
        <v>351</v>
      </c>
      <c r="AF214" s="18">
        <v>527</v>
      </c>
      <c r="AG214" s="18" t="s">
        <v>41</v>
      </c>
      <c r="AH214" s="18" t="s">
        <v>124</v>
      </c>
      <c r="AI214" s="18" t="s">
        <v>41</v>
      </c>
      <c r="AJ214" s="18">
        <v>1</v>
      </c>
      <c r="AK214" s="18" t="s">
        <v>1339</v>
      </c>
      <c r="AL214" s="19" t="s">
        <v>41</v>
      </c>
    </row>
    <row r="215" spans="1:38">
      <c r="A215" s="17" t="s">
        <v>452</v>
      </c>
      <c r="B215" s="18" t="s">
        <v>38</v>
      </c>
      <c r="C215" s="18">
        <v>1</v>
      </c>
      <c r="D215" s="18" t="s">
        <v>453</v>
      </c>
      <c r="E215" s="18" t="s">
        <v>454</v>
      </c>
      <c r="F215" s="18" t="s">
        <v>41</v>
      </c>
      <c r="G215" s="18" t="s">
        <v>455</v>
      </c>
      <c r="H215" s="18">
        <v>15</v>
      </c>
      <c r="I215" s="18">
        <v>135</v>
      </c>
      <c r="J215" s="18">
        <v>2300</v>
      </c>
      <c r="K215" s="18">
        <v>5050</v>
      </c>
      <c r="L215" s="18">
        <v>0</v>
      </c>
      <c r="M215" s="18">
        <v>0</v>
      </c>
      <c r="N215" s="18">
        <v>0</v>
      </c>
      <c r="O215" s="18">
        <v>185</v>
      </c>
      <c r="P215" s="18">
        <v>485</v>
      </c>
      <c r="Q215" s="18">
        <f>#REF!/#REF!</f>
        <v>3.5925925925925926</v>
      </c>
      <c r="R215" s="18"/>
      <c r="S215" s="18"/>
      <c r="T215" s="18">
        <v>1</v>
      </c>
      <c r="U215" s="18"/>
      <c r="V215" s="18"/>
      <c r="W215" s="18"/>
      <c r="X215" s="18"/>
      <c r="Y215" s="18"/>
      <c r="Z215" s="18">
        <v>38</v>
      </c>
      <c r="AA215" s="18">
        <v>350</v>
      </c>
      <c r="AB215" s="18"/>
      <c r="AC215" s="18"/>
      <c r="AD215" s="18"/>
      <c r="AE215" s="18">
        <v>520</v>
      </c>
      <c r="AF215" s="18">
        <v>780</v>
      </c>
      <c r="AG215" s="18" t="s">
        <v>41</v>
      </c>
      <c r="AH215" s="18" t="s">
        <v>158</v>
      </c>
      <c r="AI215" s="18" t="s">
        <v>41</v>
      </c>
      <c r="AJ215" s="18">
        <v>1</v>
      </c>
      <c r="AK215" s="18" t="s">
        <v>1377</v>
      </c>
      <c r="AL215" s="19" t="s">
        <v>41</v>
      </c>
    </row>
    <row r="216" spans="1:38">
      <c r="A216" s="17" t="s">
        <v>369</v>
      </c>
      <c r="B216" s="18" t="s">
        <v>38</v>
      </c>
      <c r="C216" s="18">
        <v>1</v>
      </c>
      <c r="D216" s="18" t="s">
        <v>370</v>
      </c>
      <c r="E216" s="18" t="s">
        <v>371</v>
      </c>
      <c r="F216" s="18" t="s">
        <v>41</v>
      </c>
      <c r="G216" s="18" t="s">
        <v>372</v>
      </c>
      <c r="H216" s="18">
        <v>10</v>
      </c>
      <c r="I216" s="18">
        <v>17</v>
      </c>
      <c r="J216" s="18">
        <v>340</v>
      </c>
      <c r="K216" s="18">
        <v>800</v>
      </c>
      <c r="L216" s="18">
        <v>0</v>
      </c>
      <c r="M216" s="18">
        <v>0</v>
      </c>
      <c r="N216" s="18">
        <v>0</v>
      </c>
      <c r="O216" s="18">
        <v>132</v>
      </c>
      <c r="P216" s="18">
        <v>61</v>
      </c>
      <c r="Q216" s="18">
        <f>#REF!/#REF!</f>
        <v>3.5882352941176472</v>
      </c>
      <c r="R216" s="18"/>
      <c r="S216" s="18"/>
      <c r="T216" s="18"/>
      <c r="U216" s="18"/>
      <c r="V216" s="18"/>
      <c r="W216" s="18"/>
      <c r="X216" s="18"/>
      <c r="Y216" s="18"/>
      <c r="Z216" s="18">
        <v>40</v>
      </c>
      <c r="AA216" s="18">
        <v>140</v>
      </c>
      <c r="AB216" s="18"/>
      <c r="AC216" s="18"/>
      <c r="AD216" s="18"/>
      <c r="AE216" s="18">
        <v>600</v>
      </c>
      <c r="AF216" s="18">
        <v>900</v>
      </c>
      <c r="AG216" s="18" t="s">
        <v>41</v>
      </c>
      <c r="AH216" s="18" t="s">
        <v>128</v>
      </c>
      <c r="AI216" s="18" t="s">
        <v>41</v>
      </c>
      <c r="AJ216" s="18">
        <v>1</v>
      </c>
      <c r="AK216" s="18" t="s">
        <v>1352</v>
      </c>
      <c r="AL216" s="19" t="s">
        <v>41</v>
      </c>
    </row>
    <row r="217" spans="1:38">
      <c r="A217" s="17" t="s">
        <v>129</v>
      </c>
      <c r="B217" s="18" t="s">
        <v>38</v>
      </c>
      <c r="C217" s="18">
        <v>2</v>
      </c>
      <c r="D217" s="18" t="s">
        <v>1291</v>
      </c>
      <c r="E217" s="18" t="s">
        <v>130</v>
      </c>
      <c r="F217" s="18" t="s">
        <v>41</v>
      </c>
      <c r="G217" s="18" t="s">
        <v>131</v>
      </c>
      <c r="H217" s="18">
        <v>33</v>
      </c>
      <c r="I217" s="18">
        <v>1400</v>
      </c>
      <c r="J217" s="18">
        <v>12000</v>
      </c>
      <c r="K217" s="18">
        <v>20000</v>
      </c>
      <c r="L217" s="18">
        <v>0</v>
      </c>
      <c r="M217" s="18">
        <v>300</v>
      </c>
      <c r="N217" s="18">
        <v>1000</v>
      </c>
      <c r="O217" s="18">
        <v>63</v>
      </c>
      <c r="P217" s="18">
        <v>5000</v>
      </c>
      <c r="Q217" s="18">
        <f>#REF!/#REF!</f>
        <v>3.5714285714285716</v>
      </c>
      <c r="R217" s="18"/>
      <c r="S217" s="18"/>
      <c r="T217" s="18"/>
      <c r="U217" s="18"/>
      <c r="V217" s="18">
        <v>1</v>
      </c>
      <c r="W217" s="18"/>
      <c r="X217" s="18"/>
      <c r="Y217" s="18"/>
      <c r="Z217" s="18">
        <v>750</v>
      </c>
      <c r="AA217" s="18">
        <v>72000</v>
      </c>
      <c r="AB217" s="18"/>
      <c r="AC217" s="18">
        <v>760</v>
      </c>
      <c r="AD217" s="18">
        <v>2950</v>
      </c>
      <c r="AE217" s="18">
        <v>1000</v>
      </c>
      <c r="AF217" s="18">
        <v>1500</v>
      </c>
      <c r="AG217" s="18" t="s">
        <v>48</v>
      </c>
      <c r="AH217" s="18" t="s">
        <v>104</v>
      </c>
      <c r="AI217" s="18" t="s">
        <v>41</v>
      </c>
      <c r="AJ217" s="18">
        <v>1</v>
      </c>
      <c r="AK217" s="18" t="s">
        <v>1292</v>
      </c>
      <c r="AL217" s="19" t="s">
        <v>41</v>
      </c>
    </row>
    <row r="218" spans="1:38">
      <c r="A218" s="17" t="s">
        <v>834</v>
      </c>
      <c r="B218" s="18" t="s">
        <v>806</v>
      </c>
      <c r="C218" s="18">
        <v>2</v>
      </c>
      <c r="D218" s="18" t="s">
        <v>1488</v>
      </c>
      <c r="E218" s="18" t="s">
        <v>130</v>
      </c>
      <c r="F218" s="18" t="s">
        <v>41</v>
      </c>
      <c r="G218" s="18" t="s">
        <v>131</v>
      </c>
      <c r="H218" s="18">
        <v>29</v>
      </c>
      <c r="I218" s="18">
        <v>1400</v>
      </c>
      <c r="J218" s="18">
        <v>12000</v>
      </c>
      <c r="K218" s="18">
        <v>20000</v>
      </c>
      <c r="L218" s="18">
        <v>0</v>
      </c>
      <c r="M218" s="18">
        <v>300</v>
      </c>
      <c r="N218" s="18">
        <v>1000</v>
      </c>
      <c r="O218" s="18">
        <v>63</v>
      </c>
      <c r="P218" s="18">
        <v>5000</v>
      </c>
      <c r="Q218" s="18">
        <f>#REF!/#REF!</f>
        <v>3.5714285714285716</v>
      </c>
      <c r="R218" s="18"/>
      <c r="S218" s="18"/>
      <c r="T218" s="18"/>
      <c r="U218" s="18"/>
      <c r="V218" s="18">
        <v>1</v>
      </c>
      <c r="W218" s="18"/>
      <c r="X218" s="18"/>
      <c r="Y218" s="18"/>
      <c r="Z218" s="18">
        <v>750</v>
      </c>
      <c r="AA218" s="18">
        <v>72000</v>
      </c>
      <c r="AB218" s="18"/>
      <c r="AC218" s="18">
        <v>760</v>
      </c>
      <c r="AD218" s="18">
        <v>2950</v>
      </c>
      <c r="AE218" s="18">
        <v>1000</v>
      </c>
      <c r="AF218" s="18">
        <v>1500</v>
      </c>
      <c r="AG218" s="18" t="s">
        <v>48</v>
      </c>
      <c r="AH218" s="18" t="s">
        <v>104</v>
      </c>
      <c r="AI218" s="18" t="s">
        <v>41</v>
      </c>
      <c r="AJ218" s="18">
        <v>1</v>
      </c>
      <c r="AK218" s="18" t="s">
        <v>1489</v>
      </c>
      <c r="AL218" s="19" t="s">
        <v>41</v>
      </c>
    </row>
    <row r="219" spans="1:38">
      <c r="A219" s="17" t="s">
        <v>502</v>
      </c>
      <c r="B219" s="18" t="s">
        <v>38</v>
      </c>
      <c r="C219" s="18">
        <v>2</v>
      </c>
      <c r="D219" s="18" t="s">
        <v>503</v>
      </c>
      <c r="E219" s="18" t="s">
        <v>504</v>
      </c>
      <c r="F219" s="18" t="s">
        <v>41</v>
      </c>
      <c r="G219" s="18" t="s">
        <v>505</v>
      </c>
      <c r="H219" s="18">
        <v>27</v>
      </c>
      <c r="I219" s="18">
        <v>100</v>
      </c>
      <c r="J219" s="18">
        <v>1250</v>
      </c>
      <c r="K219" s="18">
        <v>3800</v>
      </c>
      <c r="L219" s="18">
        <v>0</v>
      </c>
      <c r="M219" s="18">
        <v>0</v>
      </c>
      <c r="N219" s="18">
        <v>0</v>
      </c>
      <c r="O219" s="18">
        <v>41</v>
      </c>
      <c r="P219" s="18">
        <v>355</v>
      </c>
      <c r="Q219" s="18">
        <f>#REF!/#REF!</f>
        <v>3.55</v>
      </c>
      <c r="R219" s="18"/>
      <c r="S219" s="18"/>
      <c r="T219" s="18"/>
      <c r="U219" s="18"/>
      <c r="V219" s="18"/>
      <c r="W219" s="18"/>
      <c r="X219" s="18"/>
      <c r="Y219" s="18"/>
      <c r="Z219" s="18">
        <v>0</v>
      </c>
      <c r="AA219" s="18">
        <v>0</v>
      </c>
      <c r="AB219" s="18"/>
      <c r="AC219" s="18"/>
      <c r="AD219" s="18">
        <v>2200</v>
      </c>
      <c r="AE219" s="18">
        <v>900</v>
      </c>
      <c r="AF219" s="18">
        <v>1350</v>
      </c>
      <c r="AG219" s="18" t="s">
        <v>48</v>
      </c>
      <c r="AH219" s="18" t="s">
        <v>41</v>
      </c>
      <c r="AI219" s="18" t="s">
        <v>41</v>
      </c>
      <c r="AJ219" s="18">
        <v>1</v>
      </c>
      <c r="AK219" s="18" t="s">
        <v>1390</v>
      </c>
      <c r="AL219" s="19" t="s">
        <v>41</v>
      </c>
    </row>
    <row r="220" spans="1:38">
      <c r="A220" s="17" t="s">
        <v>604</v>
      </c>
      <c r="B220" s="18" t="s">
        <v>38</v>
      </c>
      <c r="C220" s="18">
        <v>3</v>
      </c>
      <c r="D220" s="18" t="s">
        <v>605</v>
      </c>
      <c r="E220" s="18" t="s">
        <v>157</v>
      </c>
      <c r="F220" s="18" t="s">
        <v>41</v>
      </c>
      <c r="G220" s="18" t="s">
        <v>606</v>
      </c>
      <c r="H220" s="18">
        <v>73</v>
      </c>
      <c r="I220" s="18">
        <v>3800</v>
      </c>
      <c r="J220" s="18">
        <v>68000</v>
      </c>
      <c r="K220" s="18">
        <v>88600</v>
      </c>
      <c r="L220" s="18">
        <v>0</v>
      </c>
      <c r="M220" s="18">
        <v>0</v>
      </c>
      <c r="N220" s="18">
        <v>0</v>
      </c>
      <c r="O220" s="18">
        <v>69</v>
      </c>
      <c r="P220" s="18">
        <v>13300</v>
      </c>
      <c r="Q220" s="18">
        <f>#REF!/#REF!</f>
        <v>3.5</v>
      </c>
      <c r="R220" s="18"/>
      <c r="S220" s="18"/>
      <c r="T220" s="18"/>
      <c r="U220" s="18"/>
      <c r="V220" s="18"/>
      <c r="W220" s="18"/>
      <c r="X220" s="18"/>
      <c r="Y220" s="18"/>
      <c r="Z220" s="18">
        <v>1099</v>
      </c>
      <c r="AA220" s="18">
        <v>475</v>
      </c>
      <c r="AB220" s="18"/>
      <c r="AC220" s="18"/>
      <c r="AD220" s="18"/>
      <c r="AE220" s="18">
        <v>450</v>
      </c>
      <c r="AF220" s="18">
        <v>675</v>
      </c>
      <c r="AG220" s="18" t="s">
        <v>41</v>
      </c>
      <c r="AH220" s="18" t="s">
        <v>128</v>
      </c>
      <c r="AI220" s="18" t="s">
        <v>41</v>
      </c>
      <c r="AJ220" s="18">
        <v>1</v>
      </c>
      <c r="AK220" s="18" t="s">
        <v>1418</v>
      </c>
      <c r="AL220" s="19" t="s">
        <v>41</v>
      </c>
    </row>
    <row r="221" spans="1:38">
      <c r="A221" s="17" t="s">
        <v>703</v>
      </c>
      <c r="B221" s="18" t="s">
        <v>38</v>
      </c>
      <c r="C221" s="18">
        <v>2</v>
      </c>
      <c r="D221" s="18" t="s">
        <v>704</v>
      </c>
      <c r="E221" s="18" t="s">
        <v>705</v>
      </c>
      <c r="F221" s="18" t="s">
        <v>41</v>
      </c>
      <c r="G221" s="18" t="s">
        <v>706</v>
      </c>
      <c r="H221" s="18">
        <v>22</v>
      </c>
      <c r="I221" s="18">
        <v>400</v>
      </c>
      <c r="J221" s="18">
        <v>4500</v>
      </c>
      <c r="K221" s="18">
        <v>8800</v>
      </c>
      <c r="L221" s="18">
        <v>0</v>
      </c>
      <c r="M221" s="18">
        <v>0</v>
      </c>
      <c r="N221" s="18">
        <v>0</v>
      </c>
      <c r="O221" s="18">
        <v>52</v>
      </c>
      <c r="P221" s="18">
        <v>1390</v>
      </c>
      <c r="Q221" s="18">
        <f>#REF!/#REF!</f>
        <v>3.4750000000000001</v>
      </c>
      <c r="R221" s="18"/>
      <c r="S221" s="18"/>
      <c r="T221" s="18"/>
      <c r="U221" s="18"/>
      <c r="V221" s="18"/>
      <c r="W221" s="18"/>
      <c r="X221" s="18"/>
      <c r="Y221" s="18"/>
      <c r="Z221" s="18">
        <v>161</v>
      </c>
      <c r="AA221" s="18">
        <v>600</v>
      </c>
      <c r="AB221" s="18"/>
      <c r="AC221" s="18"/>
      <c r="AD221" s="18"/>
      <c r="AE221" s="18">
        <v>440</v>
      </c>
      <c r="AF221" s="18">
        <v>660</v>
      </c>
      <c r="AG221" s="18" t="s">
        <v>41</v>
      </c>
      <c r="AH221" s="18" t="s">
        <v>88</v>
      </c>
      <c r="AI221" s="18" t="s">
        <v>41</v>
      </c>
      <c r="AJ221" s="18">
        <v>1</v>
      </c>
      <c r="AK221" s="18" t="s">
        <v>1443</v>
      </c>
      <c r="AL221" s="19" t="s">
        <v>41</v>
      </c>
    </row>
    <row r="222" spans="1:38">
      <c r="A222" s="17" t="s">
        <v>400</v>
      </c>
      <c r="B222" s="18" t="s">
        <v>38</v>
      </c>
      <c r="C222" s="18">
        <v>1</v>
      </c>
      <c r="D222" s="18" t="s">
        <v>401</v>
      </c>
      <c r="E222" s="18" t="s">
        <v>402</v>
      </c>
      <c r="F222" s="18" t="s">
        <v>41</v>
      </c>
      <c r="G222" s="18" t="s">
        <v>403</v>
      </c>
      <c r="H222" s="18">
        <v>51</v>
      </c>
      <c r="I222" s="18">
        <v>560</v>
      </c>
      <c r="J222" s="18">
        <v>13000</v>
      </c>
      <c r="K222" s="18">
        <v>13100</v>
      </c>
      <c r="L222" s="18">
        <v>0</v>
      </c>
      <c r="M222" s="18">
        <v>300</v>
      </c>
      <c r="N222" s="18">
        <v>0</v>
      </c>
      <c r="O222" s="18">
        <v>0</v>
      </c>
      <c r="P222" s="18">
        <v>1940</v>
      </c>
      <c r="Q222" s="18">
        <f>#REF!/#REF!</f>
        <v>3.4642857142857144</v>
      </c>
      <c r="R222" s="18"/>
      <c r="S222" s="18"/>
      <c r="T222" s="18"/>
      <c r="U222" s="18"/>
      <c r="V222" s="18"/>
      <c r="W222" s="18"/>
      <c r="X222" s="18"/>
      <c r="Y222" s="18">
        <v>1</v>
      </c>
      <c r="Z222" s="18">
        <v>0</v>
      </c>
      <c r="AA222" s="18">
        <v>0</v>
      </c>
      <c r="AB222" s="18"/>
      <c r="AC222" s="18"/>
      <c r="AD222" s="18"/>
      <c r="AE222" s="18">
        <v>273</v>
      </c>
      <c r="AF222" s="18">
        <v>410</v>
      </c>
      <c r="AG222" s="18" t="s">
        <v>41</v>
      </c>
      <c r="AH222" s="18" t="s">
        <v>41</v>
      </c>
      <c r="AI222" s="18" t="s">
        <v>41</v>
      </c>
      <c r="AJ222" s="18">
        <v>1</v>
      </c>
      <c r="AK222" s="18" t="s">
        <v>1360</v>
      </c>
      <c r="AL222" s="19" t="s">
        <v>41</v>
      </c>
    </row>
    <row r="223" spans="1:38">
      <c r="A223" s="17" t="s">
        <v>762</v>
      </c>
      <c r="B223" s="18" t="s">
        <v>38</v>
      </c>
      <c r="C223" s="18">
        <v>1</v>
      </c>
      <c r="D223" s="18" t="s">
        <v>401</v>
      </c>
      <c r="E223" s="18" t="s">
        <v>402</v>
      </c>
      <c r="F223" s="18" t="s">
        <v>41</v>
      </c>
      <c r="G223" s="18" t="s">
        <v>403</v>
      </c>
      <c r="H223" s="18">
        <v>50</v>
      </c>
      <c r="I223" s="18">
        <v>560</v>
      </c>
      <c r="J223" s="18">
        <v>13000</v>
      </c>
      <c r="K223" s="18">
        <v>13100</v>
      </c>
      <c r="L223" s="18">
        <v>0</v>
      </c>
      <c r="M223" s="18">
        <v>300</v>
      </c>
      <c r="N223" s="18">
        <v>0</v>
      </c>
      <c r="O223" s="18">
        <v>0</v>
      </c>
      <c r="P223" s="18">
        <v>1940</v>
      </c>
      <c r="Q223" s="18">
        <f>#REF!/#REF!</f>
        <v>3.4642857142857144</v>
      </c>
      <c r="R223" s="18"/>
      <c r="S223" s="18"/>
      <c r="T223" s="18"/>
      <c r="U223" s="18"/>
      <c r="V223" s="18"/>
      <c r="W223" s="18"/>
      <c r="X223" s="18"/>
      <c r="Y223" s="18">
        <v>1</v>
      </c>
      <c r="Z223" s="18">
        <v>0</v>
      </c>
      <c r="AA223" s="18">
        <v>0</v>
      </c>
      <c r="AB223" s="18"/>
      <c r="AC223" s="18"/>
      <c r="AD223" s="18"/>
      <c r="AE223" s="18">
        <v>273</v>
      </c>
      <c r="AF223" s="18">
        <v>410</v>
      </c>
      <c r="AG223" s="18" t="s">
        <v>41</v>
      </c>
      <c r="AH223" s="18" t="s">
        <v>41</v>
      </c>
      <c r="AI223" s="18" t="s">
        <v>41</v>
      </c>
      <c r="AJ223" s="18">
        <v>1</v>
      </c>
      <c r="AK223" s="18" t="s">
        <v>1460</v>
      </c>
      <c r="AL223" s="19" t="s">
        <v>41</v>
      </c>
    </row>
    <row r="224" spans="1:38">
      <c r="A224" s="17" t="s">
        <v>669</v>
      </c>
      <c r="B224" s="18" t="s">
        <v>38</v>
      </c>
      <c r="C224" s="18">
        <v>1</v>
      </c>
      <c r="D224" s="18" t="s">
        <v>670</v>
      </c>
      <c r="E224" s="18" t="s">
        <v>671</v>
      </c>
      <c r="F224" s="18" t="s">
        <v>41</v>
      </c>
      <c r="G224" s="18" t="s">
        <v>672</v>
      </c>
      <c r="H224" s="18">
        <v>18</v>
      </c>
      <c r="I224" s="18">
        <v>85</v>
      </c>
      <c r="J224" s="18">
        <v>1250</v>
      </c>
      <c r="K224" s="18">
        <v>1700</v>
      </c>
      <c r="L224" s="18">
        <v>0</v>
      </c>
      <c r="M224" s="18">
        <v>0</v>
      </c>
      <c r="N224" s="18">
        <v>0</v>
      </c>
      <c r="O224" s="18">
        <v>114</v>
      </c>
      <c r="P224" s="18">
        <v>290</v>
      </c>
      <c r="Q224" s="18">
        <f>#REF!/#REF!</f>
        <v>3.4117647058823528</v>
      </c>
      <c r="R224" s="18"/>
      <c r="S224" s="18"/>
      <c r="T224" s="18"/>
      <c r="U224" s="18">
        <v>1</v>
      </c>
      <c r="V224" s="18"/>
      <c r="W224" s="18"/>
      <c r="X224" s="18"/>
      <c r="Y224" s="18"/>
      <c r="Z224" s="18">
        <v>60</v>
      </c>
      <c r="AA224" s="18">
        <v>230</v>
      </c>
      <c r="AB224" s="18"/>
      <c r="AC224" s="18"/>
      <c r="AD224" s="18"/>
      <c r="AE224" s="18">
        <v>550</v>
      </c>
      <c r="AF224" s="18">
        <v>825</v>
      </c>
      <c r="AG224" s="18" t="s">
        <v>41</v>
      </c>
      <c r="AH224" s="18" t="s">
        <v>128</v>
      </c>
      <c r="AI224" s="18" t="s">
        <v>41</v>
      </c>
      <c r="AJ224" s="18">
        <v>1</v>
      </c>
      <c r="AK224" s="18" t="s">
        <v>1435</v>
      </c>
      <c r="AL224" s="19" t="s">
        <v>41</v>
      </c>
    </row>
    <row r="225" spans="1:38">
      <c r="A225" s="17" t="s">
        <v>1132</v>
      </c>
      <c r="B225" s="18" t="s">
        <v>806</v>
      </c>
      <c r="C225" s="18">
        <v>1</v>
      </c>
      <c r="D225" s="18" t="s">
        <v>1133</v>
      </c>
      <c r="E225" s="18" t="s">
        <v>671</v>
      </c>
      <c r="F225" s="18" t="s">
        <v>41</v>
      </c>
      <c r="G225" s="18" t="s">
        <v>672</v>
      </c>
      <c r="H225" s="18">
        <v>12</v>
      </c>
      <c r="I225" s="18">
        <v>75</v>
      </c>
      <c r="J225" s="18">
        <v>1500</v>
      </c>
      <c r="K225" s="18">
        <v>1500</v>
      </c>
      <c r="L225" s="18">
        <v>0</v>
      </c>
      <c r="M225" s="18">
        <v>0</v>
      </c>
      <c r="N225" s="18">
        <v>0</v>
      </c>
      <c r="O225" s="18">
        <v>110</v>
      </c>
      <c r="P225" s="18">
        <v>255</v>
      </c>
      <c r="Q225" s="18">
        <f>#REF!/#REF!</f>
        <v>3.4</v>
      </c>
      <c r="R225" s="18"/>
      <c r="S225" s="18"/>
      <c r="T225" s="18"/>
      <c r="U225" s="18">
        <v>1</v>
      </c>
      <c r="V225" s="18"/>
      <c r="W225" s="18"/>
      <c r="X225" s="18"/>
      <c r="Y225" s="18"/>
      <c r="Z225" s="18">
        <v>60</v>
      </c>
      <c r="AA225" s="18">
        <v>230</v>
      </c>
      <c r="AB225" s="18"/>
      <c r="AC225" s="18"/>
      <c r="AD225" s="18"/>
      <c r="AE225" s="18">
        <v>550</v>
      </c>
      <c r="AF225" s="18">
        <v>825</v>
      </c>
      <c r="AG225" s="18" t="s">
        <v>41</v>
      </c>
      <c r="AH225" s="18" t="s">
        <v>128</v>
      </c>
      <c r="AI225" s="18" t="s">
        <v>41</v>
      </c>
      <c r="AJ225" s="18">
        <v>1</v>
      </c>
      <c r="AK225" s="18" t="s">
        <v>1626</v>
      </c>
      <c r="AL225" s="19" t="s">
        <v>41</v>
      </c>
    </row>
    <row r="226" spans="1:38">
      <c r="A226" s="17" t="s">
        <v>506</v>
      </c>
      <c r="B226" s="18" t="s">
        <v>38</v>
      </c>
      <c r="C226" s="18">
        <v>2</v>
      </c>
      <c r="D226" s="18" t="s">
        <v>507</v>
      </c>
      <c r="E226" s="18" t="s">
        <v>508</v>
      </c>
      <c r="F226" s="18" t="s">
        <v>41</v>
      </c>
      <c r="G226" s="18" t="s">
        <v>509</v>
      </c>
      <c r="H226" s="18">
        <v>30</v>
      </c>
      <c r="I226" s="18">
        <v>320</v>
      </c>
      <c r="J226" s="18">
        <v>4900</v>
      </c>
      <c r="K226" s="18">
        <v>6500</v>
      </c>
      <c r="L226" s="18">
        <v>0</v>
      </c>
      <c r="M226" s="18">
        <v>0</v>
      </c>
      <c r="N226" s="18">
        <v>0</v>
      </c>
      <c r="O226" s="18">
        <v>60</v>
      </c>
      <c r="P226" s="18">
        <v>1070</v>
      </c>
      <c r="Q226" s="18">
        <f>#REF!/#REF!</f>
        <v>3.34375</v>
      </c>
      <c r="R226" s="18"/>
      <c r="S226" s="18"/>
      <c r="T226" s="18"/>
      <c r="U226" s="18"/>
      <c r="V226" s="18"/>
      <c r="W226" s="18"/>
      <c r="X226" s="18"/>
      <c r="Y226" s="18"/>
      <c r="Z226" s="18">
        <v>86</v>
      </c>
      <c r="AA226" s="18">
        <v>820</v>
      </c>
      <c r="AB226" s="18"/>
      <c r="AC226" s="18"/>
      <c r="AD226" s="18"/>
      <c r="AE226" s="18">
        <v>286</v>
      </c>
      <c r="AF226" s="18">
        <v>429</v>
      </c>
      <c r="AG226" s="18" t="s">
        <v>41</v>
      </c>
      <c r="AH226" s="18" t="s">
        <v>124</v>
      </c>
      <c r="AI226" s="18" t="s">
        <v>41</v>
      </c>
      <c r="AJ226" s="18">
        <v>1</v>
      </c>
      <c r="AK226" s="18" t="s">
        <v>1391</v>
      </c>
      <c r="AL226" s="19" t="s">
        <v>41</v>
      </c>
    </row>
    <row r="227" spans="1:38">
      <c r="A227" s="17" t="s">
        <v>1368</v>
      </c>
      <c r="B227" s="18" t="s">
        <v>38</v>
      </c>
      <c r="C227" s="18">
        <v>1</v>
      </c>
      <c r="D227" s="18" t="s">
        <v>1369</v>
      </c>
      <c r="E227" s="18" t="s">
        <v>1370</v>
      </c>
      <c r="F227" s="18" t="s">
        <v>41</v>
      </c>
      <c r="G227" s="18" t="s">
        <v>171</v>
      </c>
      <c r="H227" s="18">
        <v>26</v>
      </c>
      <c r="I227" s="18">
        <v>190</v>
      </c>
      <c r="J227" s="18">
        <v>4000</v>
      </c>
      <c r="K227" s="18">
        <v>8500</v>
      </c>
      <c r="L227" s="18">
        <v>0</v>
      </c>
      <c r="M227" s="18">
        <v>0</v>
      </c>
      <c r="N227" s="18">
        <v>0</v>
      </c>
      <c r="O227" s="18">
        <v>110</v>
      </c>
      <c r="P227" s="18">
        <v>630</v>
      </c>
      <c r="Q227" s="18">
        <f>#REF!/#REF!</f>
        <v>3.3157894736842106</v>
      </c>
      <c r="R227" s="18"/>
      <c r="S227" s="18"/>
      <c r="T227" s="18">
        <v>1</v>
      </c>
      <c r="U227" s="18"/>
      <c r="V227" s="18"/>
      <c r="W227" s="18"/>
      <c r="X227" s="18"/>
      <c r="Y227" s="18"/>
      <c r="Z227" s="18">
        <v>0</v>
      </c>
      <c r="AA227" s="18">
        <v>0</v>
      </c>
      <c r="AB227" s="18"/>
      <c r="AC227" s="18"/>
      <c r="AD227" s="18"/>
      <c r="AE227" s="18">
        <v>260</v>
      </c>
      <c r="AF227" s="18">
        <v>390</v>
      </c>
      <c r="AG227" s="18" t="s">
        <v>172</v>
      </c>
      <c r="AH227" s="18" t="s">
        <v>41</v>
      </c>
      <c r="AI227" s="18" t="s">
        <v>41</v>
      </c>
      <c r="AJ227" s="18">
        <v>1</v>
      </c>
      <c r="AK227" s="18" t="s">
        <v>1371</v>
      </c>
      <c r="AL227" s="19" t="s">
        <v>41</v>
      </c>
    </row>
    <row r="228" spans="1:38">
      <c r="A228" s="17" t="s">
        <v>435</v>
      </c>
      <c r="B228" s="18" t="s">
        <v>38</v>
      </c>
      <c r="C228" s="18">
        <v>1</v>
      </c>
      <c r="D228" s="18" t="s">
        <v>436</v>
      </c>
      <c r="E228" s="18" t="s">
        <v>437</v>
      </c>
      <c r="F228" s="18" t="s">
        <v>41</v>
      </c>
      <c r="G228" s="18" t="s">
        <v>148</v>
      </c>
      <c r="H228" s="18">
        <v>77</v>
      </c>
      <c r="I228" s="18">
        <v>240</v>
      </c>
      <c r="J228" s="18">
        <v>8500</v>
      </c>
      <c r="K228" s="18">
        <v>9950</v>
      </c>
      <c r="L228" s="18">
        <v>0</v>
      </c>
      <c r="M228" s="18">
        <v>0</v>
      </c>
      <c r="N228" s="18">
        <v>0</v>
      </c>
      <c r="O228" s="18">
        <v>0</v>
      </c>
      <c r="P228" s="18">
        <v>790</v>
      </c>
      <c r="Q228" s="18">
        <f>#REF!/#REF!</f>
        <v>3.2916666666666665</v>
      </c>
      <c r="R228" s="18"/>
      <c r="S228" s="18"/>
      <c r="T228" s="18"/>
      <c r="U228" s="18"/>
      <c r="V228" s="18"/>
      <c r="W228" s="18"/>
      <c r="X228" s="18"/>
      <c r="Y228" s="18">
        <v>1</v>
      </c>
      <c r="Z228" s="18">
        <v>0</v>
      </c>
      <c r="AA228" s="18">
        <v>0</v>
      </c>
      <c r="AB228" s="18">
        <v>500</v>
      </c>
      <c r="AC228" s="18"/>
      <c r="AD228" s="18"/>
      <c r="AE228" s="18">
        <v>195</v>
      </c>
      <c r="AF228" s="18">
        <v>293</v>
      </c>
      <c r="AG228" s="18" t="s">
        <v>438</v>
      </c>
      <c r="AH228" s="18" t="s">
        <v>41</v>
      </c>
      <c r="AI228" s="18" t="s">
        <v>41</v>
      </c>
      <c r="AJ228" s="18">
        <v>1</v>
      </c>
      <c r="AK228" s="18" t="s">
        <v>1373</v>
      </c>
      <c r="AL228" s="19" t="s">
        <v>41</v>
      </c>
    </row>
    <row r="229" spans="1:38">
      <c r="A229" s="17" t="s">
        <v>899</v>
      </c>
      <c r="B229" s="18" t="s">
        <v>806</v>
      </c>
      <c r="C229" s="18">
        <v>2</v>
      </c>
      <c r="D229" s="18" t="s">
        <v>895</v>
      </c>
      <c r="E229" s="18" t="s">
        <v>896</v>
      </c>
      <c r="F229" s="18" t="s">
        <v>41</v>
      </c>
      <c r="G229" s="18" t="s">
        <v>897</v>
      </c>
      <c r="H229" s="18">
        <v>21</v>
      </c>
      <c r="I229" s="18">
        <v>5100</v>
      </c>
      <c r="J229" s="18">
        <v>72000</v>
      </c>
      <c r="K229" s="18">
        <v>84200</v>
      </c>
      <c r="L229" s="18">
        <v>0</v>
      </c>
      <c r="M229" s="18">
        <v>0</v>
      </c>
      <c r="N229" s="18">
        <v>0</v>
      </c>
      <c r="O229" s="18">
        <v>115</v>
      </c>
      <c r="P229" s="18">
        <v>16700</v>
      </c>
      <c r="Q229" s="18">
        <f>#REF!/#REF!</f>
        <v>3.2745098039215685</v>
      </c>
      <c r="R229" s="18"/>
      <c r="S229" s="18"/>
      <c r="T229" s="18">
        <v>1</v>
      </c>
      <c r="U229" s="18"/>
      <c r="V229" s="18"/>
      <c r="W229" s="18"/>
      <c r="X229" s="18"/>
      <c r="Y229" s="18"/>
      <c r="Z229" s="18">
        <v>725</v>
      </c>
      <c r="AA229" s="18">
        <v>840</v>
      </c>
      <c r="AB229" s="18"/>
      <c r="AC229" s="18"/>
      <c r="AD229" s="18"/>
      <c r="AE229" s="18">
        <v>494</v>
      </c>
      <c r="AF229" s="18">
        <v>850</v>
      </c>
      <c r="AG229" s="18" t="s">
        <v>41</v>
      </c>
      <c r="AH229" s="18" t="s">
        <v>900</v>
      </c>
      <c r="AI229" s="18" t="s">
        <v>41</v>
      </c>
      <c r="AJ229" s="18">
        <v>1</v>
      </c>
      <c r="AK229" s="18" t="s">
        <v>1514</v>
      </c>
      <c r="AL229" s="19" t="s">
        <v>41</v>
      </c>
    </row>
    <row r="230" spans="1:38">
      <c r="A230" s="17" t="s">
        <v>856</v>
      </c>
      <c r="B230" s="18" t="s">
        <v>806</v>
      </c>
      <c r="C230" s="18">
        <v>2</v>
      </c>
      <c r="D230" s="18" t="s">
        <v>857</v>
      </c>
      <c r="E230" s="18" t="s">
        <v>189</v>
      </c>
      <c r="F230" s="18" t="s">
        <v>41</v>
      </c>
      <c r="G230" s="18" t="s">
        <v>190</v>
      </c>
      <c r="H230" s="18">
        <v>53</v>
      </c>
      <c r="I230" s="18">
        <v>3400</v>
      </c>
      <c r="J230" s="18">
        <v>23000</v>
      </c>
      <c r="K230" s="18">
        <v>36000</v>
      </c>
      <c r="L230" s="18">
        <v>0</v>
      </c>
      <c r="M230" s="18">
        <v>0</v>
      </c>
      <c r="N230" s="18">
        <v>0</v>
      </c>
      <c r="O230" s="18">
        <v>53</v>
      </c>
      <c r="P230" s="18">
        <v>11100</v>
      </c>
      <c r="Q230" s="18">
        <f>#REF!/#REF!</f>
        <v>3.2647058823529411</v>
      </c>
      <c r="R230" s="18"/>
      <c r="S230" s="18"/>
      <c r="T230" s="18"/>
      <c r="U230" s="18"/>
      <c r="V230" s="18">
        <v>1</v>
      </c>
      <c r="W230" s="18"/>
      <c r="X230" s="18"/>
      <c r="Y230" s="18"/>
      <c r="Z230" s="18">
        <v>659</v>
      </c>
      <c r="AA230" s="18">
        <v>950</v>
      </c>
      <c r="AB230" s="18"/>
      <c r="AC230" s="18"/>
      <c r="AD230" s="18"/>
      <c r="AE230" s="18">
        <v>600</v>
      </c>
      <c r="AF230" s="18">
        <v>900</v>
      </c>
      <c r="AG230" s="18" t="s">
        <v>41</v>
      </c>
      <c r="AH230" s="18" t="s">
        <v>858</v>
      </c>
      <c r="AI230" s="18" t="s">
        <v>41</v>
      </c>
      <c r="AJ230" s="18">
        <v>1</v>
      </c>
      <c r="AK230" s="18" t="s">
        <v>1502</v>
      </c>
      <c r="AL230" s="19" t="s">
        <v>41</v>
      </c>
    </row>
    <row r="231" spans="1:38">
      <c r="A231" s="17" t="s">
        <v>1049</v>
      </c>
      <c r="B231" s="18" t="s">
        <v>806</v>
      </c>
      <c r="C231" s="18">
        <v>2</v>
      </c>
      <c r="D231" s="18" t="s">
        <v>1050</v>
      </c>
      <c r="E231" s="18" t="s">
        <v>1051</v>
      </c>
      <c r="F231" s="18" t="s">
        <v>41</v>
      </c>
      <c r="G231" s="18" t="s">
        <v>551</v>
      </c>
      <c r="H231" s="18">
        <v>33</v>
      </c>
      <c r="I231" s="18">
        <v>2400</v>
      </c>
      <c r="J231" s="18">
        <v>12000</v>
      </c>
      <c r="K231" s="18">
        <v>32500</v>
      </c>
      <c r="L231" s="18">
        <v>0</v>
      </c>
      <c r="M231" s="18">
        <v>0</v>
      </c>
      <c r="N231" s="18">
        <v>0</v>
      </c>
      <c r="O231" s="18">
        <v>0</v>
      </c>
      <c r="P231" s="18">
        <v>7800</v>
      </c>
      <c r="Q231" s="18">
        <f>#REF!/#REF!</f>
        <v>3.25</v>
      </c>
      <c r="R231" s="18"/>
      <c r="S231" s="18"/>
      <c r="T231" s="18"/>
      <c r="U231" s="18"/>
      <c r="V231" s="18"/>
      <c r="W231" s="18"/>
      <c r="X231" s="18"/>
      <c r="Y231" s="18">
        <v>1</v>
      </c>
      <c r="Z231" s="18">
        <v>623</v>
      </c>
      <c r="AA231" s="18">
        <v>650</v>
      </c>
      <c r="AB231" s="18"/>
      <c r="AC231" s="18"/>
      <c r="AD231" s="18"/>
      <c r="AE231" s="18">
        <v>676</v>
      </c>
      <c r="AF231" s="18">
        <v>1014</v>
      </c>
      <c r="AG231" s="18" t="s">
        <v>41</v>
      </c>
      <c r="AH231" s="18" t="s">
        <v>114</v>
      </c>
      <c r="AI231" s="18" t="s">
        <v>41</v>
      </c>
      <c r="AJ231" s="18">
        <v>1</v>
      </c>
      <c r="AK231" s="18" t="s">
        <v>1585</v>
      </c>
      <c r="AL231" s="19" t="s">
        <v>41</v>
      </c>
    </row>
    <row r="232" spans="1:38">
      <c r="A232" s="17" t="s">
        <v>819</v>
      </c>
      <c r="B232" s="18" t="s">
        <v>806</v>
      </c>
      <c r="C232" s="18">
        <v>1</v>
      </c>
      <c r="D232" s="18" t="s">
        <v>73</v>
      </c>
      <c r="E232" s="18" t="s">
        <v>74</v>
      </c>
      <c r="F232" s="18" t="s">
        <v>41</v>
      </c>
      <c r="G232" s="18" t="s">
        <v>75</v>
      </c>
      <c r="H232" s="18">
        <v>12</v>
      </c>
      <c r="I232" s="18">
        <v>370</v>
      </c>
      <c r="J232" s="18">
        <v>4000</v>
      </c>
      <c r="K232" s="18">
        <v>8150</v>
      </c>
      <c r="L232" s="18">
        <v>0</v>
      </c>
      <c r="M232" s="18">
        <v>75</v>
      </c>
      <c r="N232" s="18">
        <v>0</v>
      </c>
      <c r="O232" s="18">
        <v>0</v>
      </c>
      <c r="P232" s="18">
        <v>1200</v>
      </c>
      <c r="Q232" s="18">
        <f>#REF!/#REF!</f>
        <v>3.2432432432432434</v>
      </c>
      <c r="R232" s="18"/>
      <c r="S232" s="18"/>
      <c r="T232" s="18"/>
      <c r="U232" s="18"/>
      <c r="V232" s="18"/>
      <c r="W232" s="18"/>
      <c r="X232" s="18"/>
      <c r="Y232" s="18">
        <v>1</v>
      </c>
      <c r="Z232" s="18">
        <v>0</v>
      </c>
      <c r="AA232" s="18">
        <v>0</v>
      </c>
      <c r="AB232" s="18"/>
      <c r="AC232" s="18"/>
      <c r="AD232" s="18"/>
      <c r="AE232" s="18">
        <v>260</v>
      </c>
      <c r="AF232" s="18">
        <v>390</v>
      </c>
      <c r="AG232" s="18" t="s">
        <v>41</v>
      </c>
      <c r="AH232" s="18" t="s">
        <v>41</v>
      </c>
      <c r="AI232" s="18" t="s">
        <v>41</v>
      </c>
      <c r="AJ232" s="18">
        <v>1</v>
      </c>
      <c r="AK232" s="18" t="s">
        <v>1480</v>
      </c>
      <c r="AL232" s="19" t="s">
        <v>41</v>
      </c>
    </row>
    <row r="233" spans="1:38">
      <c r="A233" s="17" t="s">
        <v>469</v>
      </c>
      <c r="B233" s="18" t="s">
        <v>38</v>
      </c>
      <c r="C233" s="18">
        <v>2</v>
      </c>
      <c r="D233" s="18" t="s">
        <v>470</v>
      </c>
      <c r="E233" s="18" t="s">
        <v>471</v>
      </c>
      <c r="F233" s="18" t="s">
        <v>41</v>
      </c>
      <c r="G233" s="18" t="s">
        <v>472</v>
      </c>
      <c r="H233" s="18">
        <v>23</v>
      </c>
      <c r="I233" s="18">
        <v>330</v>
      </c>
      <c r="J233" s="18">
        <v>6400</v>
      </c>
      <c r="K233" s="18">
        <v>6030</v>
      </c>
      <c r="L233" s="18">
        <v>0</v>
      </c>
      <c r="M233" s="18">
        <v>0</v>
      </c>
      <c r="N233" s="18">
        <v>0</v>
      </c>
      <c r="O233" s="18">
        <v>90</v>
      </c>
      <c r="P233" s="18">
        <v>1060</v>
      </c>
      <c r="Q233" s="18">
        <f>#REF!/#REF!</f>
        <v>3.2121212121212119</v>
      </c>
      <c r="R233" s="18"/>
      <c r="S233" s="18"/>
      <c r="T233" s="18"/>
      <c r="U233" s="18"/>
      <c r="V233" s="18"/>
      <c r="W233" s="18"/>
      <c r="X233" s="18"/>
      <c r="Y233" s="18"/>
      <c r="Z233" s="18">
        <v>205</v>
      </c>
      <c r="AA233" s="18">
        <v>600</v>
      </c>
      <c r="AB233" s="18"/>
      <c r="AC233" s="18"/>
      <c r="AD233" s="18"/>
      <c r="AE233" s="18">
        <v>390</v>
      </c>
      <c r="AF233" s="18">
        <v>585</v>
      </c>
      <c r="AG233" s="18" t="s">
        <v>41</v>
      </c>
      <c r="AH233" s="18" t="s">
        <v>473</v>
      </c>
      <c r="AI233" s="18" t="s">
        <v>41</v>
      </c>
      <c r="AJ233" s="18">
        <v>1</v>
      </c>
      <c r="AK233" s="18" t="s">
        <v>1381</v>
      </c>
      <c r="AL233" s="19" t="s">
        <v>41</v>
      </c>
    </row>
    <row r="234" spans="1:38">
      <c r="A234" s="17" t="s">
        <v>918</v>
      </c>
      <c r="B234" s="18" t="s">
        <v>806</v>
      </c>
      <c r="C234" s="18">
        <v>2</v>
      </c>
      <c r="D234" s="18" t="s">
        <v>919</v>
      </c>
      <c r="E234" s="18" t="s">
        <v>920</v>
      </c>
      <c r="F234" s="18" t="s">
        <v>41</v>
      </c>
      <c r="G234" s="18" t="s">
        <v>918</v>
      </c>
      <c r="H234" s="18">
        <v>119</v>
      </c>
      <c r="I234" s="18">
        <v>3000</v>
      </c>
      <c r="J234" s="18">
        <v>37000</v>
      </c>
      <c r="K234" s="18">
        <v>55200</v>
      </c>
      <c r="L234" s="18">
        <v>0</v>
      </c>
      <c r="M234" s="18">
        <v>0</v>
      </c>
      <c r="N234" s="18">
        <v>0</v>
      </c>
      <c r="O234" s="18">
        <v>0</v>
      </c>
      <c r="P234" s="18">
        <v>9400</v>
      </c>
      <c r="Q234" s="18">
        <f>#REF!/#REF!</f>
        <v>3.1333333333333333</v>
      </c>
      <c r="R234" s="18"/>
      <c r="S234" s="18"/>
      <c r="T234" s="18"/>
      <c r="U234" s="18"/>
      <c r="V234" s="18"/>
      <c r="W234" s="18"/>
      <c r="X234" s="18"/>
      <c r="Y234" s="18">
        <v>1</v>
      </c>
      <c r="Z234" s="18">
        <v>1513</v>
      </c>
      <c r="AA234" s="18">
        <v>950</v>
      </c>
      <c r="AB234" s="18"/>
      <c r="AC234" s="18"/>
      <c r="AD234" s="18">
        <v>1200</v>
      </c>
      <c r="AE234" s="18">
        <v>780</v>
      </c>
      <c r="AF234" s="18">
        <v>1170</v>
      </c>
      <c r="AG234" s="18" t="s">
        <v>48</v>
      </c>
      <c r="AH234" s="18" t="s">
        <v>898</v>
      </c>
      <c r="AI234" s="18" t="s">
        <v>41</v>
      </c>
      <c r="AJ234" s="18">
        <v>1</v>
      </c>
      <c r="AK234" s="18" t="s">
        <v>1522</v>
      </c>
      <c r="AL234" s="19" t="s">
        <v>41</v>
      </c>
    </row>
    <row r="235" spans="1:38">
      <c r="A235" s="17" t="s">
        <v>903</v>
      </c>
      <c r="B235" s="18" t="s">
        <v>806</v>
      </c>
      <c r="C235" s="18">
        <v>1</v>
      </c>
      <c r="D235" s="18" t="s">
        <v>266</v>
      </c>
      <c r="E235" s="18" t="s">
        <v>216</v>
      </c>
      <c r="F235" s="18" t="s">
        <v>41</v>
      </c>
      <c r="G235" s="18" t="s">
        <v>267</v>
      </c>
      <c r="H235" s="18">
        <v>16</v>
      </c>
      <c r="I235" s="18">
        <v>140</v>
      </c>
      <c r="J235" s="18">
        <v>8200</v>
      </c>
      <c r="K235" s="18">
        <v>12000</v>
      </c>
      <c r="L235" s="18">
        <v>0</v>
      </c>
      <c r="M235" s="18">
        <v>20</v>
      </c>
      <c r="N235" s="18">
        <v>75</v>
      </c>
      <c r="O235" s="18">
        <v>218</v>
      </c>
      <c r="P235" s="18">
        <v>435</v>
      </c>
      <c r="Q235" s="18">
        <f>#REF!/#REF!</f>
        <v>3.1071428571428572</v>
      </c>
      <c r="R235" s="18">
        <v>1</v>
      </c>
      <c r="S235" s="18"/>
      <c r="T235" s="18">
        <v>1</v>
      </c>
      <c r="U235" s="18"/>
      <c r="V235" s="18"/>
      <c r="W235" s="18"/>
      <c r="X235" s="18"/>
      <c r="Y235" s="18"/>
      <c r="Z235" s="18">
        <v>0</v>
      </c>
      <c r="AA235" s="18">
        <v>0</v>
      </c>
      <c r="AB235" s="18"/>
      <c r="AC235" s="18"/>
      <c r="AD235" s="18"/>
      <c r="AE235" s="18">
        <v>351</v>
      </c>
      <c r="AF235" s="18">
        <v>527</v>
      </c>
      <c r="AG235" s="18" t="s">
        <v>41</v>
      </c>
      <c r="AH235" s="18" t="s">
        <v>41</v>
      </c>
      <c r="AI235" s="18" t="s">
        <v>904</v>
      </c>
      <c r="AJ235" s="18">
        <v>1</v>
      </c>
      <c r="AK235" s="18" t="s">
        <v>1516</v>
      </c>
      <c r="AL235" s="19" t="s">
        <v>41</v>
      </c>
    </row>
    <row r="236" spans="1:38">
      <c r="A236" s="17" t="s">
        <v>72</v>
      </c>
      <c r="B236" s="18" t="s">
        <v>38</v>
      </c>
      <c r="C236" s="18">
        <v>1</v>
      </c>
      <c r="D236" s="18" t="s">
        <v>73</v>
      </c>
      <c r="E236" s="18" t="s">
        <v>74</v>
      </c>
      <c r="F236" s="18" t="s">
        <v>41</v>
      </c>
      <c r="G236" s="18" t="s">
        <v>75</v>
      </c>
      <c r="H236" s="18">
        <v>32</v>
      </c>
      <c r="I236" s="18">
        <v>370</v>
      </c>
      <c r="J236" s="18">
        <v>5000</v>
      </c>
      <c r="K236" s="18">
        <v>7950</v>
      </c>
      <c r="L236" s="18">
        <v>0</v>
      </c>
      <c r="M236" s="18">
        <v>75</v>
      </c>
      <c r="N236" s="18">
        <v>0</v>
      </c>
      <c r="O236" s="18">
        <v>0</v>
      </c>
      <c r="P236" s="18">
        <v>1130</v>
      </c>
      <c r="Q236" s="18">
        <f>#REF!/#REF!</f>
        <v>3.0540540540540539</v>
      </c>
      <c r="R236" s="18"/>
      <c r="S236" s="18"/>
      <c r="T236" s="18"/>
      <c r="U236" s="18"/>
      <c r="V236" s="18"/>
      <c r="W236" s="18"/>
      <c r="X236" s="18"/>
      <c r="Y236" s="18">
        <v>1</v>
      </c>
      <c r="Z236" s="18">
        <v>0</v>
      </c>
      <c r="AA236" s="18">
        <v>0</v>
      </c>
      <c r="AB236" s="18"/>
      <c r="AC236" s="18"/>
      <c r="AD236" s="18"/>
      <c r="AE236" s="18">
        <v>260</v>
      </c>
      <c r="AF236" s="18">
        <v>390</v>
      </c>
      <c r="AG236" s="18" t="s">
        <v>41</v>
      </c>
      <c r="AH236" s="18" t="s">
        <v>41</v>
      </c>
      <c r="AI236" s="18" t="s">
        <v>41</v>
      </c>
      <c r="AJ236" s="18">
        <v>1</v>
      </c>
      <c r="AK236" s="18" t="s">
        <v>1279</v>
      </c>
      <c r="AL236" s="19" t="s">
        <v>41</v>
      </c>
    </row>
    <row r="237" spans="1:38">
      <c r="A237" s="17" t="s">
        <v>526</v>
      </c>
      <c r="B237" s="18" t="s">
        <v>38</v>
      </c>
      <c r="C237" s="18">
        <v>1</v>
      </c>
      <c r="D237" s="18" t="s">
        <v>527</v>
      </c>
      <c r="E237" s="18" t="s">
        <v>528</v>
      </c>
      <c r="F237" s="18" t="s">
        <v>41</v>
      </c>
      <c r="G237" s="18" t="s">
        <v>529</v>
      </c>
      <c r="H237" s="18">
        <v>25</v>
      </c>
      <c r="I237" s="18">
        <v>175</v>
      </c>
      <c r="J237" s="18">
        <v>3000</v>
      </c>
      <c r="K237" s="18">
        <v>3300</v>
      </c>
      <c r="L237" s="18">
        <v>0</v>
      </c>
      <c r="M237" s="18">
        <v>0</v>
      </c>
      <c r="N237" s="18">
        <v>0</v>
      </c>
      <c r="O237" s="18">
        <v>64</v>
      </c>
      <c r="P237" s="18">
        <v>530</v>
      </c>
      <c r="Q237" s="18">
        <f>#REF!/#REF!</f>
        <v>3.0285714285714285</v>
      </c>
      <c r="R237" s="18"/>
      <c r="S237" s="18"/>
      <c r="T237" s="18"/>
      <c r="U237" s="18">
        <v>1</v>
      </c>
      <c r="V237" s="18"/>
      <c r="W237" s="18"/>
      <c r="X237" s="18"/>
      <c r="Y237" s="18"/>
      <c r="Z237" s="18">
        <v>50</v>
      </c>
      <c r="AA237" s="18">
        <v>710</v>
      </c>
      <c r="AB237" s="18"/>
      <c r="AC237" s="18"/>
      <c r="AD237" s="18"/>
      <c r="AE237" s="18">
        <v>509</v>
      </c>
      <c r="AF237" s="18">
        <v>764</v>
      </c>
      <c r="AG237" s="18" t="s">
        <v>41</v>
      </c>
      <c r="AH237" s="18" t="s">
        <v>104</v>
      </c>
      <c r="AI237" s="18" t="s">
        <v>41</v>
      </c>
      <c r="AJ237" s="18">
        <v>1</v>
      </c>
      <c r="AK237" s="18" t="s">
        <v>1396</v>
      </c>
      <c r="AL237" s="19" t="s">
        <v>41</v>
      </c>
    </row>
    <row r="238" spans="1:38">
      <c r="A238" s="17" t="s">
        <v>912</v>
      </c>
      <c r="B238" s="18" t="s">
        <v>806</v>
      </c>
      <c r="C238" s="18">
        <v>3</v>
      </c>
      <c r="D238" s="18" t="s">
        <v>913</v>
      </c>
      <c r="E238" s="18" t="s">
        <v>914</v>
      </c>
      <c r="F238" s="18" t="s">
        <v>41</v>
      </c>
      <c r="G238" s="18" t="s">
        <v>912</v>
      </c>
      <c r="H238" s="18">
        <v>121</v>
      </c>
      <c r="I238" s="18">
        <v>6000</v>
      </c>
      <c r="J238" s="18">
        <v>90000</v>
      </c>
      <c r="K238" s="18">
        <v>120000</v>
      </c>
      <c r="L238" s="18">
        <v>0</v>
      </c>
      <c r="M238" s="18">
        <v>0</v>
      </c>
      <c r="N238" s="18">
        <v>0</v>
      </c>
      <c r="O238" s="18">
        <v>63</v>
      </c>
      <c r="P238" s="18">
        <v>18000</v>
      </c>
      <c r="Q238" s="18">
        <f>#REF!/#REF!</f>
        <v>3</v>
      </c>
      <c r="R238" s="18"/>
      <c r="S238" s="18"/>
      <c r="T238" s="18"/>
      <c r="U238" s="18"/>
      <c r="V238" s="18"/>
      <c r="W238" s="18"/>
      <c r="X238" s="18"/>
      <c r="Y238" s="18"/>
      <c r="Z238" s="18">
        <v>1690</v>
      </c>
      <c r="AA238" s="18">
        <v>700</v>
      </c>
      <c r="AB238" s="18"/>
      <c r="AC238" s="18"/>
      <c r="AD238" s="18"/>
      <c r="AE238" s="18">
        <v>500</v>
      </c>
      <c r="AF238" s="18">
        <v>750</v>
      </c>
      <c r="AG238" s="18" t="s">
        <v>41</v>
      </c>
      <c r="AH238" s="18" t="s">
        <v>915</v>
      </c>
      <c r="AI238" s="18" t="s">
        <v>41</v>
      </c>
      <c r="AJ238" s="18">
        <v>1</v>
      </c>
      <c r="AK238" s="18" t="s">
        <v>1520</v>
      </c>
      <c r="AL238" s="19" t="s">
        <v>41</v>
      </c>
    </row>
    <row r="239" spans="1:38">
      <c r="A239" s="17" t="s">
        <v>1043</v>
      </c>
      <c r="B239" s="18" t="s">
        <v>806</v>
      </c>
      <c r="C239" s="18">
        <v>2</v>
      </c>
      <c r="D239" s="18" t="s">
        <v>1044</v>
      </c>
      <c r="E239" s="18" t="s">
        <v>508</v>
      </c>
      <c r="F239" s="18" t="s">
        <v>41</v>
      </c>
      <c r="G239" s="18" t="s">
        <v>509</v>
      </c>
      <c r="H239" s="18">
        <v>28</v>
      </c>
      <c r="I239" s="18">
        <v>400</v>
      </c>
      <c r="J239" s="18">
        <v>4400</v>
      </c>
      <c r="K239" s="18">
        <v>6500</v>
      </c>
      <c r="L239" s="18">
        <v>0</v>
      </c>
      <c r="M239" s="18">
        <v>0</v>
      </c>
      <c r="N239" s="18">
        <v>0</v>
      </c>
      <c r="O239" s="18">
        <v>58</v>
      </c>
      <c r="P239" s="18">
        <v>1200</v>
      </c>
      <c r="Q239" s="18">
        <f>#REF!/#REF!</f>
        <v>3</v>
      </c>
      <c r="R239" s="18"/>
      <c r="S239" s="18"/>
      <c r="T239" s="18"/>
      <c r="U239" s="18"/>
      <c r="V239" s="18"/>
      <c r="W239" s="18"/>
      <c r="X239" s="18"/>
      <c r="Y239" s="18"/>
      <c r="Z239" s="18">
        <v>84</v>
      </c>
      <c r="AA239" s="18">
        <v>800</v>
      </c>
      <c r="AB239" s="18"/>
      <c r="AC239" s="18"/>
      <c r="AD239" s="18"/>
      <c r="AE239" s="18">
        <v>299</v>
      </c>
      <c r="AF239" s="18">
        <v>449</v>
      </c>
      <c r="AG239" s="18" t="s">
        <v>41</v>
      </c>
      <c r="AH239" s="18" t="s">
        <v>124</v>
      </c>
      <c r="AI239" s="18" t="s">
        <v>41</v>
      </c>
      <c r="AJ239" s="18">
        <v>1</v>
      </c>
      <c r="AK239" s="18" t="s">
        <v>1582</v>
      </c>
      <c r="AL239" s="19" t="s">
        <v>41</v>
      </c>
    </row>
    <row r="240" spans="1:38">
      <c r="A240" s="17" t="s">
        <v>1192</v>
      </c>
      <c r="B240" s="18" t="s">
        <v>806</v>
      </c>
      <c r="C240" s="18">
        <v>2</v>
      </c>
      <c r="D240" s="18" t="s">
        <v>1193</v>
      </c>
      <c r="E240" s="18" t="s">
        <v>1194</v>
      </c>
      <c r="F240" s="18" t="s">
        <v>41</v>
      </c>
      <c r="G240" s="18" t="s">
        <v>1195</v>
      </c>
      <c r="H240" s="18">
        <v>41</v>
      </c>
      <c r="I240" s="18">
        <v>1200</v>
      </c>
      <c r="J240" s="18">
        <v>14000</v>
      </c>
      <c r="K240" s="18">
        <v>59000</v>
      </c>
      <c r="L240" s="18">
        <v>0</v>
      </c>
      <c r="M240" s="18">
        <v>0</v>
      </c>
      <c r="N240" s="18">
        <v>0</v>
      </c>
      <c r="O240" s="18">
        <v>0</v>
      </c>
      <c r="P240" s="18">
        <v>3550</v>
      </c>
      <c r="Q240" s="18">
        <f>#REF!/#REF!</f>
        <v>2.9583333333333335</v>
      </c>
      <c r="R240" s="18"/>
      <c r="S240" s="18"/>
      <c r="T240" s="18"/>
      <c r="U240" s="18"/>
      <c r="V240" s="18"/>
      <c r="W240" s="18"/>
      <c r="X240" s="18"/>
      <c r="Y240" s="18">
        <v>1</v>
      </c>
      <c r="Z240" s="18">
        <v>2000</v>
      </c>
      <c r="AA240" s="18">
        <v>2250</v>
      </c>
      <c r="AB240" s="18"/>
      <c r="AC240" s="18"/>
      <c r="AD240" s="18"/>
      <c r="AE240" s="18">
        <v>455</v>
      </c>
      <c r="AF240" s="18">
        <v>683</v>
      </c>
      <c r="AG240" s="18" t="s">
        <v>41</v>
      </c>
      <c r="AH240" s="18" t="s">
        <v>104</v>
      </c>
      <c r="AI240" s="18" t="s">
        <v>41</v>
      </c>
      <c r="AJ240" s="18">
        <v>1</v>
      </c>
      <c r="AK240" s="18" t="s">
        <v>1653</v>
      </c>
      <c r="AL240" s="19" t="s">
        <v>41</v>
      </c>
    </row>
    <row r="241" spans="1:38">
      <c r="A241" s="17" t="s">
        <v>863</v>
      </c>
      <c r="B241" s="18" t="s">
        <v>806</v>
      </c>
      <c r="C241" s="18">
        <v>2</v>
      </c>
      <c r="D241" s="18" t="s">
        <v>864</v>
      </c>
      <c r="E241" s="18" t="s">
        <v>302</v>
      </c>
      <c r="F241" s="18" t="s">
        <v>41</v>
      </c>
      <c r="G241" s="18" t="s">
        <v>303</v>
      </c>
      <c r="H241" s="18">
        <v>65</v>
      </c>
      <c r="I241" s="18">
        <v>18000</v>
      </c>
      <c r="J241" s="18">
        <v>158000</v>
      </c>
      <c r="K241" s="18">
        <v>175300</v>
      </c>
      <c r="L241" s="18">
        <v>0</v>
      </c>
      <c r="M241" s="18">
        <v>0</v>
      </c>
      <c r="N241" s="18">
        <v>0</v>
      </c>
      <c r="O241" s="18">
        <v>50</v>
      </c>
      <c r="P241" s="18">
        <v>53000</v>
      </c>
      <c r="Q241" s="18">
        <f>#REF!/#REF!</f>
        <v>2.9444444444444446</v>
      </c>
      <c r="R241" s="18"/>
      <c r="S241" s="18"/>
      <c r="T241" s="18"/>
      <c r="U241" s="18"/>
      <c r="V241" s="18">
        <v>1</v>
      </c>
      <c r="W241" s="18"/>
      <c r="X241" s="18"/>
      <c r="Y241" s="18"/>
      <c r="Z241" s="18">
        <v>1821</v>
      </c>
      <c r="AA241" s="18">
        <v>2550</v>
      </c>
      <c r="AB241" s="18"/>
      <c r="AC241" s="18"/>
      <c r="AD241" s="18">
        <v>1510</v>
      </c>
      <c r="AE241" s="18">
        <v>650</v>
      </c>
      <c r="AF241" s="18">
        <v>975</v>
      </c>
      <c r="AG241" s="18" t="s">
        <v>48</v>
      </c>
      <c r="AH241" s="18" t="s">
        <v>865</v>
      </c>
      <c r="AI241" s="18" t="s">
        <v>41</v>
      </c>
      <c r="AJ241" s="18">
        <v>1</v>
      </c>
      <c r="AK241" s="18" t="s">
        <v>1504</v>
      </c>
      <c r="AL241" s="19" t="s">
        <v>41</v>
      </c>
    </row>
    <row r="242" spans="1:38">
      <c r="A242" s="17" t="s">
        <v>300</v>
      </c>
      <c r="B242" s="18" t="s">
        <v>38</v>
      </c>
      <c r="C242" s="18">
        <v>2</v>
      </c>
      <c r="D242" s="18" t="s">
        <v>301</v>
      </c>
      <c r="E242" s="18" t="s">
        <v>302</v>
      </c>
      <c r="F242" s="18" t="s">
        <v>41</v>
      </c>
      <c r="G242" s="18" t="s">
        <v>303</v>
      </c>
      <c r="H242" s="18">
        <v>50</v>
      </c>
      <c r="I242" s="18">
        <v>17000</v>
      </c>
      <c r="J242" s="18">
        <v>158000</v>
      </c>
      <c r="K242" s="18">
        <v>169800</v>
      </c>
      <c r="L242" s="18">
        <v>0</v>
      </c>
      <c r="M242" s="18">
        <v>0</v>
      </c>
      <c r="N242" s="18">
        <v>0</v>
      </c>
      <c r="O242" s="18">
        <v>54</v>
      </c>
      <c r="P242" s="18">
        <v>50000</v>
      </c>
      <c r="Q242" s="18">
        <f>#REF!/#REF!</f>
        <v>2.9411764705882355</v>
      </c>
      <c r="R242" s="18"/>
      <c r="S242" s="18"/>
      <c r="T242" s="18"/>
      <c r="U242" s="18"/>
      <c r="V242" s="18">
        <v>1</v>
      </c>
      <c r="W242" s="18"/>
      <c r="X242" s="18"/>
      <c r="Y242" s="18"/>
      <c r="Z242" s="18">
        <v>1727</v>
      </c>
      <c r="AA242" s="18">
        <v>2450</v>
      </c>
      <c r="AB242" s="18"/>
      <c r="AC242" s="18"/>
      <c r="AD242" s="18">
        <v>1530</v>
      </c>
      <c r="AE242" s="18">
        <v>689</v>
      </c>
      <c r="AF242" s="18">
        <v>1034</v>
      </c>
      <c r="AG242" s="18" t="s">
        <v>48</v>
      </c>
      <c r="AH242" s="18" t="s">
        <v>304</v>
      </c>
      <c r="AI242" s="18" t="s">
        <v>41</v>
      </c>
      <c r="AJ242" s="18">
        <v>1</v>
      </c>
      <c r="AK242" s="18" t="s">
        <v>1334</v>
      </c>
      <c r="AL242" s="19" t="s">
        <v>41</v>
      </c>
    </row>
    <row r="243" spans="1:38">
      <c r="A243" s="17" t="s">
        <v>943</v>
      </c>
      <c r="B243" s="18" t="s">
        <v>806</v>
      </c>
      <c r="C243" s="18">
        <v>1</v>
      </c>
      <c r="D243" s="18" t="s">
        <v>944</v>
      </c>
      <c r="E243" s="18" t="s">
        <v>329</v>
      </c>
      <c r="F243" s="18" t="s">
        <v>41</v>
      </c>
      <c r="G243" s="18" t="s">
        <v>330</v>
      </c>
      <c r="H243" s="18">
        <v>16</v>
      </c>
      <c r="I243" s="18">
        <v>26</v>
      </c>
      <c r="J243" s="18">
        <v>270</v>
      </c>
      <c r="K243" s="18">
        <v>1150</v>
      </c>
      <c r="L243" s="18">
        <v>0</v>
      </c>
      <c r="M243" s="18">
        <v>0</v>
      </c>
      <c r="N243" s="18">
        <v>0</v>
      </c>
      <c r="O243" s="18">
        <v>153</v>
      </c>
      <c r="P243" s="18">
        <v>75</v>
      </c>
      <c r="Q243" s="18">
        <f>#REF!/#REF!</f>
        <v>2.8846153846153846</v>
      </c>
      <c r="R243" s="18"/>
      <c r="S243" s="18"/>
      <c r="T243" s="18"/>
      <c r="U243" s="18"/>
      <c r="V243" s="18"/>
      <c r="W243" s="18"/>
      <c r="X243" s="18"/>
      <c r="Y243" s="18"/>
      <c r="Z243" s="18">
        <v>35</v>
      </c>
      <c r="AA243" s="18">
        <v>180</v>
      </c>
      <c r="AB243" s="18"/>
      <c r="AC243" s="18"/>
      <c r="AD243" s="18"/>
      <c r="AE243" s="18">
        <v>600</v>
      </c>
      <c r="AF243" s="18">
        <v>900</v>
      </c>
      <c r="AG243" s="18" t="s">
        <v>41</v>
      </c>
      <c r="AH243" s="18" t="s">
        <v>128</v>
      </c>
      <c r="AI243" s="18" t="s">
        <v>41</v>
      </c>
      <c r="AJ243" s="18">
        <v>1</v>
      </c>
      <c r="AK243" s="18" t="s">
        <v>1534</v>
      </c>
      <c r="AL243" s="19" t="s">
        <v>41</v>
      </c>
    </row>
    <row r="244" spans="1:38">
      <c r="A244" s="17" t="s">
        <v>327</v>
      </c>
      <c r="B244" s="18" t="s">
        <v>38</v>
      </c>
      <c r="C244" s="18">
        <v>1</v>
      </c>
      <c r="D244" s="18" t="s">
        <v>328</v>
      </c>
      <c r="E244" s="18" t="s">
        <v>329</v>
      </c>
      <c r="F244" s="18" t="s">
        <v>41</v>
      </c>
      <c r="G244" s="18" t="s">
        <v>330</v>
      </c>
      <c r="H244" s="18">
        <v>15</v>
      </c>
      <c r="I244" s="18">
        <v>31</v>
      </c>
      <c r="J244" s="18">
        <v>370</v>
      </c>
      <c r="K244" s="18">
        <v>950</v>
      </c>
      <c r="L244" s="18">
        <v>0</v>
      </c>
      <c r="M244" s="18">
        <v>0</v>
      </c>
      <c r="N244" s="18">
        <v>0</v>
      </c>
      <c r="O244" s="18">
        <v>168</v>
      </c>
      <c r="P244" s="18">
        <v>89</v>
      </c>
      <c r="Q244" s="18">
        <f>#REF!/#REF!</f>
        <v>2.870967741935484</v>
      </c>
      <c r="R244" s="18"/>
      <c r="S244" s="18"/>
      <c r="T244" s="18"/>
      <c r="U244" s="18"/>
      <c r="V244" s="18"/>
      <c r="W244" s="18"/>
      <c r="X244" s="18"/>
      <c r="Y244" s="18"/>
      <c r="Z244" s="18">
        <v>38</v>
      </c>
      <c r="AA244" s="18">
        <v>180</v>
      </c>
      <c r="AB244" s="18"/>
      <c r="AC244" s="18"/>
      <c r="AD244" s="18"/>
      <c r="AE244" s="18">
        <v>635</v>
      </c>
      <c r="AF244" s="18">
        <v>953</v>
      </c>
      <c r="AG244" s="18" t="s">
        <v>41</v>
      </c>
      <c r="AH244" s="18" t="s">
        <v>128</v>
      </c>
      <c r="AI244" s="18" t="s">
        <v>41</v>
      </c>
      <c r="AJ244" s="18">
        <v>1</v>
      </c>
      <c r="AK244" s="18" t="s">
        <v>1341</v>
      </c>
      <c r="AL244" s="19" t="s">
        <v>41</v>
      </c>
    </row>
    <row r="245" spans="1:38">
      <c r="A245" s="17" t="s">
        <v>164</v>
      </c>
      <c r="B245" s="18" t="s">
        <v>38</v>
      </c>
      <c r="C245" s="18">
        <v>2</v>
      </c>
      <c r="D245" s="18" t="s">
        <v>165</v>
      </c>
      <c r="E245" s="18" t="s">
        <v>166</v>
      </c>
      <c r="F245" s="18" t="s">
        <v>41</v>
      </c>
      <c r="G245" s="18" t="s">
        <v>167</v>
      </c>
      <c r="H245" s="18">
        <v>15</v>
      </c>
      <c r="I245" s="18">
        <v>1000</v>
      </c>
      <c r="J245" s="18">
        <v>8500</v>
      </c>
      <c r="K245" s="18">
        <v>9260</v>
      </c>
      <c r="L245" s="18">
        <v>0</v>
      </c>
      <c r="M245" s="18">
        <v>0</v>
      </c>
      <c r="N245" s="18">
        <v>0</v>
      </c>
      <c r="O245" s="18">
        <v>0</v>
      </c>
      <c r="P245" s="18">
        <v>2800</v>
      </c>
      <c r="Q245" s="18">
        <f>#REF!/#REF!</f>
        <v>2.8</v>
      </c>
      <c r="R245" s="18"/>
      <c r="S245" s="18"/>
      <c r="T245" s="18"/>
      <c r="U245" s="18"/>
      <c r="V245" s="18"/>
      <c r="W245" s="18"/>
      <c r="X245" s="18"/>
      <c r="Y245" s="18">
        <v>1</v>
      </c>
      <c r="Z245" s="18">
        <v>360</v>
      </c>
      <c r="AA245" s="18">
        <v>915</v>
      </c>
      <c r="AB245" s="18"/>
      <c r="AC245" s="18">
        <v>400</v>
      </c>
      <c r="AD245" s="18"/>
      <c r="AE245" s="18">
        <v>585</v>
      </c>
      <c r="AF245" s="18">
        <v>878</v>
      </c>
      <c r="AG245" s="18" t="s">
        <v>41</v>
      </c>
      <c r="AH245" s="18" t="s">
        <v>168</v>
      </c>
      <c r="AI245" s="18" t="s">
        <v>41</v>
      </c>
      <c r="AJ245" s="18">
        <v>1</v>
      </c>
      <c r="AK245" s="18" t="s">
        <v>1301</v>
      </c>
      <c r="AL245" s="19" t="s">
        <v>41</v>
      </c>
    </row>
    <row r="246" spans="1:38">
      <c r="A246" s="17" t="s">
        <v>821</v>
      </c>
      <c r="B246" s="18" t="s">
        <v>806</v>
      </c>
      <c r="C246" s="18">
        <v>2</v>
      </c>
      <c r="D246" s="18" t="s">
        <v>81</v>
      </c>
      <c r="E246" s="18" t="s">
        <v>82</v>
      </c>
      <c r="F246" s="18" t="s">
        <v>41</v>
      </c>
      <c r="G246" s="18" t="s">
        <v>83</v>
      </c>
      <c r="H246" s="18">
        <v>74</v>
      </c>
      <c r="I246" s="18">
        <v>1500</v>
      </c>
      <c r="J246" s="18">
        <v>27000</v>
      </c>
      <c r="K246" s="18">
        <v>32000</v>
      </c>
      <c r="L246" s="18">
        <v>0</v>
      </c>
      <c r="M246" s="18">
        <v>1250</v>
      </c>
      <c r="N246" s="18">
        <v>0</v>
      </c>
      <c r="O246" s="18">
        <v>0</v>
      </c>
      <c r="P246" s="18">
        <v>4150</v>
      </c>
      <c r="Q246" s="18">
        <f>#REF!/#REF!</f>
        <v>2.7666666666666666</v>
      </c>
      <c r="R246" s="18"/>
      <c r="S246" s="18"/>
      <c r="T246" s="18"/>
      <c r="U246" s="18"/>
      <c r="V246" s="18"/>
      <c r="W246" s="18"/>
      <c r="X246" s="18"/>
      <c r="Y246" s="18">
        <v>1</v>
      </c>
      <c r="Z246" s="18">
        <v>0</v>
      </c>
      <c r="AA246" s="18">
        <v>0</v>
      </c>
      <c r="AB246" s="18"/>
      <c r="AC246" s="18"/>
      <c r="AD246" s="18"/>
      <c r="AE246" s="18">
        <v>273</v>
      </c>
      <c r="AF246" s="18">
        <v>410</v>
      </c>
      <c r="AG246" s="18" t="s">
        <v>41</v>
      </c>
      <c r="AH246" s="18" t="s">
        <v>41</v>
      </c>
      <c r="AI246" s="18" t="s">
        <v>41</v>
      </c>
      <c r="AJ246" s="18">
        <v>1</v>
      </c>
      <c r="AK246" s="18" t="s">
        <v>1482</v>
      </c>
      <c r="AL246" s="19" t="s">
        <v>41</v>
      </c>
    </row>
    <row r="247" spans="1:38">
      <c r="A247" s="17" t="s">
        <v>1198</v>
      </c>
      <c r="B247" s="18" t="s">
        <v>806</v>
      </c>
      <c r="C247" s="18">
        <v>2</v>
      </c>
      <c r="D247" s="18" t="s">
        <v>81</v>
      </c>
      <c r="E247" s="18" t="s">
        <v>82</v>
      </c>
      <c r="F247" s="18" t="s">
        <v>41</v>
      </c>
      <c r="G247" s="18" t="s">
        <v>83</v>
      </c>
      <c r="H247" s="18">
        <v>3</v>
      </c>
      <c r="I247" s="18">
        <v>1500</v>
      </c>
      <c r="J247" s="18">
        <v>27000</v>
      </c>
      <c r="K247" s="18">
        <v>32000</v>
      </c>
      <c r="L247" s="18">
        <v>0</v>
      </c>
      <c r="M247" s="18">
        <v>1250</v>
      </c>
      <c r="N247" s="18">
        <v>0</v>
      </c>
      <c r="O247" s="18">
        <v>0</v>
      </c>
      <c r="P247" s="18">
        <v>4150</v>
      </c>
      <c r="Q247" s="18">
        <f>#REF!/#REF!</f>
        <v>2.7666666666666666</v>
      </c>
      <c r="R247" s="18"/>
      <c r="S247" s="18">
        <v>1</v>
      </c>
      <c r="T247" s="18"/>
      <c r="U247" s="18"/>
      <c r="V247" s="18"/>
      <c r="W247" s="18"/>
      <c r="X247" s="18"/>
      <c r="Y247" s="18">
        <v>1</v>
      </c>
      <c r="Z247" s="18">
        <v>0</v>
      </c>
      <c r="AA247" s="18">
        <v>0</v>
      </c>
      <c r="AB247" s="18"/>
      <c r="AC247" s="18"/>
      <c r="AD247" s="18"/>
      <c r="AE247" s="18">
        <v>273</v>
      </c>
      <c r="AF247" s="18">
        <v>410</v>
      </c>
      <c r="AG247" s="18" t="s">
        <v>41</v>
      </c>
      <c r="AH247" s="18" t="s">
        <v>41</v>
      </c>
      <c r="AI247" s="18" t="s">
        <v>41</v>
      </c>
      <c r="AJ247" s="18">
        <v>1</v>
      </c>
      <c r="AK247" s="18" t="s">
        <v>1656</v>
      </c>
      <c r="AL247" s="19" t="s">
        <v>41</v>
      </c>
    </row>
    <row r="248" spans="1:38">
      <c r="A248" s="17" t="s">
        <v>1052</v>
      </c>
      <c r="B248" s="18" t="s">
        <v>806</v>
      </c>
      <c r="C248" s="18">
        <v>1</v>
      </c>
      <c r="D248" s="18" t="s">
        <v>1053</v>
      </c>
      <c r="E248" s="18" t="s">
        <v>528</v>
      </c>
      <c r="F248" s="18" t="s">
        <v>41</v>
      </c>
      <c r="G248" s="18" t="s">
        <v>529</v>
      </c>
      <c r="H248" s="18">
        <v>14</v>
      </c>
      <c r="I248" s="18">
        <v>200</v>
      </c>
      <c r="J248" s="18">
        <v>3300</v>
      </c>
      <c r="K248" s="18">
        <v>3500</v>
      </c>
      <c r="L248" s="18">
        <v>0</v>
      </c>
      <c r="M248" s="18">
        <v>0</v>
      </c>
      <c r="N248" s="18">
        <v>0</v>
      </c>
      <c r="O248" s="18">
        <v>64</v>
      </c>
      <c r="P248" s="18">
        <v>550</v>
      </c>
      <c r="Q248" s="18">
        <f>#REF!/#REF!</f>
        <v>2.75</v>
      </c>
      <c r="R248" s="18"/>
      <c r="S248" s="18"/>
      <c r="T248" s="18"/>
      <c r="U248" s="18">
        <v>1</v>
      </c>
      <c r="V248" s="18"/>
      <c r="W248" s="18"/>
      <c r="X248" s="18"/>
      <c r="Y248" s="18"/>
      <c r="Z248" s="18">
        <v>61</v>
      </c>
      <c r="AA248" s="18">
        <v>700</v>
      </c>
      <c r="AB248" s="18"/>
      <c r="AC248" s="18"/>
      <c r="AD248" s="18"/>
      <c r="AE248" s="18">
        <v>509</v>
      </c>
      <c r="AF248" s="18">
        <v>764</v>
      </c>
      <c r="AG248" s="18" t="s">
        <v>41</v>
      </c>
      <c r="AH248" s="18" t="s">
        <v>104</v>
      </c>
      <c r="AI248" s="18" t="s">
        <v>41</v>
      </c>
      <c r="AJ248" s="18">
        <v>1</v>
      </c>
      <c r="AK248" s="18" t="s">
        <v>1586</v>
      </c>
      <c r="AL248" s="19" t="s">
        <v>41</v>
      </c>
    </row>
    <row r="249" spans="1:38">
      <c r="A249" s="17" t="s">
        <v>265</v>
      </c>
      <c r="B249" s="18" t="s">
        <v>38</v>
      </c>
      <c r="C249" s="18">
        <v>1</v>
      </c>
      <c r="D249" s="18" t="s">
        <v>266</v>
      </c>
      <c r="E249" s="18" t="s">
        <v>216</v>
      </c>
      <c r="F249" s="18" t="s">
        <v>41</v>
      </c>
      <c r="G249" s="18" t="s">
        <v>267</v>
      </c>
      <c r="H249" s="18">
        <v>17</v>
      </c>
      <c r="I249" s="18">
        <v>150</v>
      </c>
      <c r="J249" s="18">
        <v>7800</v>
      </c>
      <c r="K249" s="18">
        <v>12000</v>
      </c>
      <c r="L249" s="18">
        <v>0</v>
      </c>
      <c r="M249" s="18">
        <v>20</v>
      </c>
      <c r="N249" s="18">
        <v>75</v>
      </c>
      <c r="O249" s="18">
        <v>192</v>
      </c>
      <c r="P249" s="18">
        <v>405</v>
      </c>
      <c r="Q249" s="18">
        <f>#REF!/#REF!</f>
        <v>2.7</v>
      </c>
      <c r="R249" s="18">
        <v>1</v>
      </c>
      <c r="S249" s="18"/>
      <c r="T249" s="18">
        <v>1</v>
      </c>
      <c r="U249" s="18"/>
      <c r="V249" s="18"/>
      <c r="W249" s="18"/>
      <c r="X249" s="18"/>
      <c r="Y249" s="18"/>
      <c r="Z249" s="18">
        <v>0</v>
      </c>
      <c r="AA249" s="18">
        <v>0</v>
      </c>
      <c r="AB249" s="18"/>
      <c r="AC249" s="18"/>
      <c r="AD249" s="18"/>
      <c r="AE249" s="18">
        <v>364</v>
      </c>
      <c r="AF249" s="18">
        <v>546</v>
      </c>
      <c r="AG249" s="18" t="s">
        <v>41</v>
      </c>
      <c r="AH249" s="18" t="s">
        <v>41</v>
      </c>
      <c r="AI249" s="18" t="s">
        <v>268</v>
      </c>
      <c r="AJ249" s="18">
        <v>1</v>
      </c>
      <c r="AK249" s="18" t="s">
        <v>1325</v>
      </c>
      <c r="AL249" s="19" t="s">
        <v>41</v>
      </c>
    </row>
    <row r="250" spans="1:38">
      <c r="A250" s="17" t="s">
        <v>187</v>
      </c>
      <c r="B250" s="18" t="s">
        <v>38</v>
      </c>
      <c r="C250" s="18">
        <v>2</v>
      </c>
      <c r="D250" s="18" t="s">
        <v>188</v>
      </c>
      <c r="E250" s="18" t="s">
        <v>189</v>
      </c>
      <c r="F250" s="18" t="s">
        <v>41</v>
      </c>
      <c r="G250" s="18" t="s">
        <v>190</v>
      </c>
      <c r="H250" s="18">
        <v>40</v>
      </c>
      <c r="I250" s="18">
        <v>3300</v>
      </c>
      <c r="J250" s="18">
        <v>22000</v>
      </c>
      <c r="K250" s="18">
        <v>35000</v>
      </c>
      <c r="L250" s="18">
        <v>0</v>
      </c>
      <c r="M250" s="18">
        <v>0</v>
      </c>
      <c r="N250" s="18">
        <v>0</v>
      </c>
      <c r="O250" s="18">
        <v>58</v>
      </c>
      <c r="P250" s="18">
        <v>8900</v>
      </c>
      <c r="Q250" s="18">
        <f>#REF!/#REF!</f>
        <v>2.6969696969696968</v>
      </c>
      <c r="R250" s="18"/>
      <c r="S250" s="18"/>
      <c r="T250" s="18"/>
      <c r="U250" s="18"/>
      <c r="V250" s="18">
        <v>1</v>
      </c>
      <c r="W250" s="18"/>
      <c r="X250" s="18"/>
      <c r="Y250" s="18"/>
      <c r="Z250" s="18">
        <v>600</v>
      </c>
      <c r="AA250" s="18">
        <v>880</v>
      </c>
      <c r="AB250" s="18"/>
      <c r="AC250" s="18"/>
      <c r="AD250" s="18"/>
      <c r="AE250" s="18">
        <v>600</v>
      </c>
      <c r="AF250" s="18">
        <v>900</v>
      </c>
      <c r="AG250" s="18" t="s">
        <v>41</v>
      </c>
      <c r="AH250" s="18" t="s">
        <v>99</v>
      </c>
      <c r="AI250" s="18" t="s">
        <v>41</v>
      </c>
      <c r="AJ250" s="18">
        <v>1</v>
      </c>
      <c r="AK250" s="18" t="s">
        <v>1307</v>
      </c>
      <c r="AL250" s="19" t="s">
        <v>41</v>
      </c>
    </row>
    <row r="251" spans="1:38">
      <c r="A251" s="17" t="s">
        <v>859</v>
      </c>
      <c r="B251" s="18" t="s">
        <v>806</v>
      </c>
      <c r="C251" s="18">
        <v>2</v>
      </c>
      <c r="D251" s="18" t="s">
        <v>860</v>
      </c>
      <c r="E251" s="18" t="s">
        <v>861</v>
      </c>
      <c r="F251" s="18" t="s">
        <v>41</v>
      </c>
      <c r="G251" s="18" t="s">
        <v>859</v>
      </c>
      <c r="H251" s="18">
        <v>39</v>
      </c>
      <c r="I251" s="18">
        <v>3100</v>
      </c>
      <c r="J251" s="18">
        <v>35000</v>
      </c>
      <c r="K251" s="18">
        <v>59600</v>
      </c>
      <c r="L251" s="18">
        <v>0</v>
      </c>
      <c r="M251" s="18">
        <v>450</v>
      </c>
      <c r="N251" s="18">
        <v>0</v>
      </c>
      <c r="O251" s="18">
        <v>0</v>
      </c>
      <c r="P251" s="18">
        <v>8300</v>
      </c>
      <c r="Q251" s="18">
        <f>#REF!/#REF!</f>
        <v>2.6774193548387095</v>
      </c>
      <c r="R251" s="18"/>
      <c r="S251" s="18"/>
      <c r="T251" s="18"/>
      <c r="U251" s="18"/>
      <c r="V251" s="18"/>
      <c r="W251" s="18"/>
      <c r="X251" s="18"/>
      <c r="Y251" s="18">
        <v>1</v>
      </c>
      <c r="Z251" s="18">
        <v>324</v>
      </c>
      <c r="AA251" s="18">
        <v>1650</v>
      </c>
      <c r="AB251" s="18"/>
      <c r="AC251" s="18"/>
      <c r="AD251" s="18"/>
      <c r="AE251" s="18">
        <v>650</v>
      </c>
      <c r="AF251" s="18">
        <v>975</v>
      </c>
      <c r="AG251" s="18" t="s">
        <v>41</v>
      </c>
      <c r="AH251" s="18" t="s">
        <v>862</v>
      </c>
      <c r="AI251" s="18" t="s">
        <v>41</v>
      </c>
      <c r="AJ251" s="18">
        <v>1</v>
      </c>
      <c r="AK251" s="18" t="s">
        <v>1503</v>
      </c>
      <c r="AL251" s="19" t="s">
        <v>41</v>
      </c>
    </row>
    <row r="252" spans="1:38">
      <c r="A252" s="17" t="s">
        <v>560</v>
      </c>
      <c r="B252" s="18" t="s">
        <v>38</v>
      </c>
      <c r="C252" s="18">
        <v>1</v>
      </c>
      <c r="D252" s="18" t="s">
        <v>561</v>
      </c>
      <c r="E252" s="18" t="s">
        <v>562</v>
      </c>
      <c r="F252" s="18" t="s">
        <v>41</v>
      </c>
      <c r="G252" s="18" t="s">
        <v>563</v>
      </c>
      <c r="H252" s="18">
        <v>35</v>
      </c>
      <c r="I252" s="18">
        <v>210</v>
      </c>
      <c r="J252" s="18">
        <v>3200</v>
      </c>
      <c r="K252" s="18">
        <v>5300</v>
      </c>
      <c r="L252" s="18">
        <v>0</v>
      </c>
      <c r="M252" s="18">
        <v>0</v>
      </c>
      <c r="N252" s="18">
        <v>200</v>
      </c>
      <c r="O252" s="18">
        <v>0</v>
      </c>
      <c r="P252" s="18">
        <v>560</v>
      </c>
      <c r="Q252" s="18">
        <f>#REF!/#REF!</f>
        <v>2.6666666666666665</v>
      </c>
      <c r="R252" s="18"/>
      <c r="S252" s="18"/>
      <c r="T252" s="18"/>
      <c r="U252" s="18"/>
      <c r="V252" s="18"/>
      <c r="W252" s="18"/>
      <c r="X252" s="18"/>
      <c r="Y252" s="18">
        <v>1</v>
      </c>
      <c r="Z252" s="18">
        <v>0</v>
      </c>
      <c r="AA252" s="18">
        <v>0</v>
      </c>
      <c r="AB252" s="18"/>
      <c r="AC252" s="18"/>
      <c r="AD252" s="18"/>
      <c r="AE252" s="18">
        <v>380</v>
      </c>
      <c r="AF252" s="18">
        <v>570</v>
      </c>
      <c r="AG252" s="18" t="s">
        <v>41</v>
      </c>
      <c r="AH252" s="18" t="s">
        <v>41</v>
      </c>
      <c r="AI252" s="18" t="s">
        <v>41</v>
      </c>
      <c r="AJ252" s="18">
        <v>1</v>
      </c>
      <c r="AK252" s="18" t="s">
        <v>1407</v>
      </c>
      <c r="AL252" s="19" t="s">
        <v>41</v>
      </c>
    </row>
    <row r="253" spans="1:38">
      <c r="A253" s="17" t="s">
        <v>846</v>
      </c>
      <c r="B253" s="18" t="s">
        <v>806</v>
      </c>
      <c r="C253" s="18">
        <v>2</v>
      </c>
      <c r="D253" s="18" t="s">
        <v>847</v>
      </c>
      <c r="E253" s="18" t="s">
        <v>166</v>
      </c>
      <c r="F253" s="18" t="s">
        <v>41</v>
      </c>
      <c r="G253" s="18" t="s">
        <v>167</v>
      </c>
      <c r="H253" s="18">
        <v>19</v>
      </c>
      <c r="I253" s="18">
        <v>1050</v>
      </c>
      <c r="J253" s="18">
        <v>8500</v>
      </c>
      <c r="K253" s="18">
        <v>10900</v>
      </c>
      <c r="L253" s="18">
        <v>0</v>
      </c>
      <c r="M253" s="18">
        <v>0</v>
      </c>
      <c r="N253" s="18">
        <v>0</v>
      </c>
      <c r="O253" s="18">
        <v>0</v>
      </c>
      <c r="P253" s="18">
        <v>2800</v>
      </c>
      <c r="Q253" s="18">
        <f>#REF!/#REF!</f>
        <v>2.6666666666666665</v>
      </c>
      <c r="R253" s="18"/>
      <c r="S253" s="18"/>
      <c r="T253" s="18"/>
      <c r="U253" s="18"/>
      <c r="V253" s="18"/>
      <c r="W253" s="18"/>
      <c r="X253" s="18"/>
      <c r="Y253" s="18">
        <v>1</v>
      </c>
      <c r="Z253" s="18">
        <v>363</v>
      </c>
      <c r="AA253" s="18">
        <v>890</v>
      </c>
      <c r="AB253" s="18"/>
      <c r="AC253" s="18">
        <v>400</v>
      </c>
      <c r="AD253" s="18"/>
      <c r="AE253" s="18">
        <v>585</v>
      </c>
      <c r="AF253" s="18">
        <v>878</v>
      </c>
      <c r="AG253" s="18" t="s">
        <v>41</v>
      </c>
      <c r="AH253" s="18" t="s">
        <v>168</v>
      </c>
      <c r="AI253" s="18" t="s">
        <v>41</v>
      </c>
      <c r="AJ253" s="18">
        <v>1</v>
      </c>
      <c r="AK253" s="18" t="s">
        <v>1498</v>
      </c>
      <c r="AL253" s="19" t="s">
        <v>41</v>
      </c>
    </row>
    <row r="254" spans="1:38">
      <c r="A254" s="17" t="s">
        <v>1076</v>
      </c>
      <c r="B254" s="18" t="s">
        <v>806</v>
      </c>
      <c r="C254" s="18">
        <v>1</v>
      </c>
      <c r="D254" s="18" t="s">
        <v>561</v>
      </c>
      <c r="E254" s="18" t="s">
        <v>562</v>
      </c>
      <c r="F254" s="18" t="s">
        <v>41</v>
      </c>
      <c r="G254" s="18" t="s">
        <v>563</v>
      </c>
      <c r="H254" s="18">
        <v>32</v>
      </c>
      <c r="I254" s="18">
        <v>210</v>
      </c>
      <c r="J254" s="18">
        <v>3200</v>
      </c>
      <c r="K254" s="18">
        <v>5300</v>
      </c>
      <c r="L254" s="18">
        <v>0</v>
      </c>
      <c r="M254" s="18">
        <v>0</v>
      </c>
      <c r="N254" s="18">
        <v>200</v>
      </c>
      <c r="O254" s="18">
        <v>0</v>
      </c>
      <c r="P254" s="18">
        <v>560</v>
      </c>
      <c r="Q254" s="18">
        <f>#REF!/#REF!</f>
        <v>2.6666666666666665</v>
      </c>
      <c r="R254" s="18"/>
      <c r="S254" s="18"/>
      <c r="T254" s="18"/>
      <c r="U254" s="18"/>
      <c r="V254" s="18"/>
      <c r="W254" s="18"/>
      <c r="X254" s="18"/>
      <c r="Y254" s="18">
        <v>1</v>
      </c>
      <c r="Z254" s="18">
        <v>0</v>
      </c>
      <c r="AA254" s="18">
        <v>0</v>
      </c>
      <c r="AB254" s="18"/>
      <c r="AC254" s="18"/>
      <c r="AD254" s="18"/>
      <c r="AE254" s="18">
        <v>380</v>
      </c>
      <c r="AF254" s="18">
        <v>570</v>
      </c>
      <c r="AG254" s="18" t="s">
        <v>41</v>
      </c>
      <c r="AH254" s="18" t="s">
        <v>41</v>
      </c>
      <c r="AI254" s="18" t="s">
        <v>41</v>
      </c>
      <c r="AJ254" s="18">
        <v>1</v>
      </c>
      <c r="AK254" s="18" t="s">
        <v>1601</v>
      </c>
      <c r="AL254" s="19" t="s">
        <v>41</v>
      </c>
    </row>
    <row r="255" spans="1:38">
      <c r="A255" s="17" t="s">
        <v>420</v>
      </c>
      <c r="B255" s="18" t="s">
        <v>38</v>
      </c>
      <c r="C255" s="18">
        <v>2</v>
      </c>
      <c r="D255" s="18" t="s">
        <v>421</v>
      </c>
      <c r="E255" s="18" t="s">
        <v>422</v>
      </c>
      <c r="F255" s="18" t="s">
        <v>41</v>
      </c>
      <c r="G255" s="18" t="s">
        <v>423</v>
      </c>
      <c r="H255" s="18">
        <v>9</v>
      </c>
      <c r="I255" s="18">
        <v>140</v>
      </c>
      <c r="J255" s="18">
        <v>5700</v>
      </c>
      <c r="K255" s="18">
        <v>8900</v>
      </c>
      <c r="L255" s="18">
        <v>0</v>
      </c>
      <c r="M255" s="18">
        <v>0</v>
      </c>
      <c r="N255" s="18">
        <v>0</v>
      </c>
      <c r="O255" s="18">
        <v>359</v>
      </c>
      <c r="P255" s="18">
        <v>370</v>
      </c>
      <c r="Q255" s="18">
        <f>#REF!/#REF!</f>
        <v>2.6428571428571428</v>
      </c>
      <c r="R255" s="18"/>
      <c r="S255" s="18"/>
      <c r="T255" s="18">
        <v>1</v>
      </c>
      <c r="U255" s="18"/>
      <c r="V255" s="18"/>
      <c r="W255" s="18"/>
      <c r="X255" s="18"/>
      <c r="Y255" s="18"/>
      <c r="Z255" s="18">
        <v>536</v>
      </c>
      <c r="AA255" s="18">
        <v>740</v>
      </c>
      <c r="AB255" s="18"/>
      <c r="AC255" s="18"/>
      <c r="AD255" s="18"/>
      <c r="AE255" s="18">
        <v>250</v>
      </c>
      <c r="AF255" s="18">
        <v>1100</v>
      </c>
      <c r="AG255" s="18" t="s">
        <v>424</v>
      </c>
      <c r="AH255" s="18" t="s">
        <v>88</v>
      </c>
      <c r="AI255" s="18" t="s">
        <v>41</v>
      </c>
      <c r="AJ255" s="18">
        <v>1</v>
      </c>
      <c r="AK255" s="18" t="s">
        <v>1365</v>
      </c>
      <c r="AL255" s="19" t="s">
        <v>41</v>
      </c>
    </row>
    <row r="256" spans="1:38">
      <c r="A256" s="17" t="s">
        <v>732</v>
      </c>
      <c r="B256" s="18" t="s">
        <v>38</v>
      </c>
      <c r="C256" s="18">
        <v>2</v>
      </c>
      <c r="D256" s="18" t="s">
        <v>733</v>
      </c>
      <c r="E256" s="18" t="s">
        <v>734</v>
      </c>
      <c r="F256" s="18" t="s">
        <v>41</v>
      </c>
      <c r="G256" s="18" t="s">
        <v>326</v>
      </c>
      <c r="H256" s="18">
        <v>147</v>
      </c>
      <c r="I256" s="18">
        <v>810</v>
      </c>
      <c r="J256" s="18">
        <v>7200</v>
      </c>
      <c r="K256" s="18">
        <v>8700</v>
      </c>
      <c r="L256" s="18">
        <v>0</v>
      </c>
      <c r="M256" s="18">
        <v>0</v>
      </c>
      <c r="N256" s="18">
        <v>0</v>
      </c>
      <c r="O256" s="18">
        <v>0</v>
      </c>
      <c r="P256" s="18">
        <v>2100</v>
      </c>
      <c r="Q256" s="18">
        <f>#REF!/#REF!</f>
        <v>2.5925925925925926</v>
      </c>
      <c r="R256" s="18"/>
      <c r="S256" s="18"/>
      <c r="T256" s="18"/>
      <c r="U256" s="18"/>
      <c r="V256" s="18"/>
      <c r="W256" s="18"/>
      <c r="X256" s="18"/>
      <c r="Y256" s="18">
        <v>1</v>
      </c>
      <c r="Z256" s="18">
        <v>0</v>
      </c>
      <c r="AA256" s="18">
        <v>0</v>
      </c>
      <c r="AB256" s="18"/>
      <c r="AC256" s="18"/>
      <c r="AD256" s="18"/>
      <c r="AE256" s="18">
        <v>273</v>
      </c>
      <c r="AF256" s="18">
        <v>410</v>
      </c>
      <c r="AG256" s="18" t="s">
        <v>41</v>
      </c>
      <c r="AH256" s="18" t="s">
        <v>41</v>
      </c>
      <c r="AI256" s="18" t="s">
        <v>41</v>
      </c>
      <c r="AJ256" s="18">
        <v>1</v>
      </c>
      <c r="AK256" s="18" t="s">
        <v>1450</v>
      </c>
      <c r="AL256" s="19" t="s">
        <v>41</v>
      </c>
    </row>
    <row r="257" spans="1:38">
      <c r="A257" s="17" t="s">
        <v>774</v>
      </c>
      <c r="B257" s="18" t="s">
        <v>38</v>
      </c>
      <c r="C257" s="18">
        <v>3</v>
      </c>
      <c r="D257" s="18" t="s">
        <v>775</v>
      </c>
      <c r="E257" s="18" t="s">
        <v>490</v>
      </c>
      <c r="F257" s="18" t="s">
        <v>41</v>
      </c>
      <c r="G257" s="18" t="s">
        <v>776</v>
      </c>
      <c r="H257" s="18">
        <v>50</v>
      </c>
      <c r="I257" s="18">
        <v>3300</v>
      </c>
      <c r="J257" s="18">
        <v>71000</v>
      </c>
      <c r="K257" s="18">
        <v>91000</v>
      </c>
      <c r="L257" s="18">
        <v>0</v>
      </c>
      <c r="M257" s="18">
        <v>0</v>
      </c>
      <c r="N257" s="18">
        <v>0</v>
      </c>
      <c r="O257" s="18">
        <v>33</v>
      </c>
      <c r="P257" s="18">
        <v>8500</v>
      </c>
      <c r="Q257" s="18">
        <f>#REF!/#REF!</f>
        <v>2.5757575757575757</v>
      </c>
      <c r="R257" s="18"/>
      <c r="S257" s="18"/>
      <c r="T257" s="18"/>
      <c r="U257" s="18"/>
      <c r="V257" s="18"/>
      <c r="W257" s="18"/>
      <c r="X257" s="18"/>
      <c r="Y257" s="18"/>
      <c r="Z257" s="18">
        <v>316</v>
      </c>
      <c r="AA257" s="18">
        <v>1450</v>
      </c>
      <c r="AB257" s="18"/>
      <c r="AC257" s="18"/>
      <c r="AD257" s="18"/>
      <c r="AE257" s="18">
        <v>625</v>
      </c>
      <c r="AF257" s="18">
        <v>938</v>
      </c>
      <c r="AG257" s="18" t="s">
        <v>41</v>
      </c>
      <c r="AH257" s="18" t="s">
        <v>862</v>
      </c>
      <c r="AI257" s="18" t="s">
        <v>41</v>
      </c>
      <c r="AJ257" s="18">
        <v>1</v>
      </c>
      <c r="AK257" s="18" t="s">
        <v>1465</v>
      </c>
      <c r="AL257" s="19" t="s">
        <v>41</v>
      </c>
    </row>
    <row r="258" spans="1:38">
      <c r="A258" s="17" t="s">
        <v>835</v>
      </c>
      <c r="B258" s="18" t="s">
        <v>806</v>
      </c>
      <c r="C258" s="18">
        <v>1</v>
      </c>
      <c r="D258" s="18" t="s">
        <v>133</v>
      </c>
      <c r="E258" s="18" t="s">
        <v>134</v>
      </c>
      <c r="F258" s="18" t="s">
        <v>41</v>
      </c>
      <c r="G258" s="18" t="s">
        <v>135</v>
      </c>
      <c r="H258" s="18">
        <v>42</v>
      </c>
      <c r="I258" s="18">
        <v>840</v>
      </c>
      <c r="J258" s="18">
        <v>1350</v>
      </c>
      <c r="K258" s="18">
        <v>7180</v>
      </c>
      <c r="L258" s="18">
        <v>0</v>
      </c>
      <c r="M258" s="18">
        <v>0</v>
      </c>
      <c r="N258" s="18">
        <v>100</v>
      </c>
      <c r="O258" s="18">
        <v>0</v>
      </c>
      <c r="P258" s="18">
        <v>2150</v>
      </c>
      <c r="Q258" s="18">
        <f>#REF!/#REF!</f>
        <v>2.5595238095238093</v>
      </c>
      <c r="R258" s="18"/>
      <c r="S258" s="18"/>
      <c r="T258" s="18"/>
      <c r="U258" s="18"/>
      <c r="V258" s="18"/>
      <c r="W258" s="18"/>
      <c r="X258" s="18"/>
      <c r="Y258" s="18">
        <v>1</v>
      </c>
      <c r="Z258" s="18">
        <v>0</v>
      </c>
      <c r="AA258" s="18">
        <v>0</v>
      </c>
      <c r="AB258" s="18"/>
      <c r="AC258" s="18"/>
      <c r="AD258" s="18">
        <v>510</v>
      </c>
      <c r="AE258" s="18">
        <v>273</v>
      </c>
      <c r="AF258" s="18">
        <v>410</v>
      </c>
      <c r="AG258" s="18" t="s">
        <v>41</v>
      </c>
      <c r="AH258" s="18" t="s">
        <v>41</v>
      </c>
      <c r="AI258" s="18" t="s">
        <v>1490</v>
      </c>
      <c r="AJ258" s="18">
        <v>1</v>
      </c>
      <c r="AK258" s="18" t="s">
        <v>1491</v>
      </c>
      <c r="AL258" s="19" t="s">
        <v>41</v>
      </c>
    </row>
    <row r="259" spans="1:38">
      <c r="A259" s="17" t="s">
        <v>852</v>
      </c>
      <c r="B259" s="18" t="s">
        <v>806</v>
      </c>
      <c r="C259" s="18">
        <v>2</v>
      </c>
      <c r="D259" s="18" t="s">
        <v>853</v>
      </c>
      <c r="E259" s="18" t="s">
        <v>854</v>
      </c>
      <c r="F259" s="18" t="s">
        <v>41</v>
      </c>
      <c r="G259" s="18" t="s">
        <v>855</v>
      </c>
      <c r="H259" s="18">
        <v>26</v>
      </c>
      <c r="I259" s="18">
        <v>1000</v>
      </c>
      <c r="J259" s="18">
        <v>23000</v>
      </c>
      <c r="K259" s="18">
        <v>23100</v>
      </c>
      <c r="L259" s="18">
        <v>0</v>
      </c>
      <c r="M259" s="18">
        <v>0</v>
      </c>
      <c r="N259" s="18">
        <v>0</v>
      </c>
      <c r="O259" s="18">
        <v>54</v>
      </c>
      <c r="P259" s="18">
        <v>2500</v>
      </c>
      <c r="Q259" s="18">
        <f>#REF!/#REF!</f>
        <v>2.5</v>
      </c>
      <c r="R259" s="18"/>
      <c r="S259" s="18"/>
      <c r="T259" s="18"/>
      <c r="U259" s="18"/>
      <c r="V259" s="18"/>
      <c r="W259" s="18"/>
      <c r="X259" s="18"/>
      <c r="Y259" s="18"/>
      <c r="Z259" s="18">
        <v>133</v>
      </c>
      <c r="AA259" s="18">
        <v>800</v>
      </c>
      <c r="AB259" s="18"/>
      <c r="AC259" s="18"/>
      <c r="AD259" s="18"/>
      <c r="AE259" s="18">
        <v>546</v>
      </c>
      <c r="AF259" s="18">
        <v>819</v>
      </c>
      <c r="AG259" s="18" t="s">
        <v>41</v>
      </c>
      <c r="AH259" s="18" t="s">
        <v>88</v>
      </c>
      <c r="AI259" s="18" t="s">
        <v>41</v>
      </c>
      <c r="AJ259" s="18">
        <v>1</v>
      </c>
      <c r="AK259" s="18" t="s">
        <v>1501</v>
      </c>
      <c r="AL259" s="19" t="s">
        <v>41</v>
      </c>
    </row>
    <row r="260" spans="1:38">
      <c r="A260" s="17" t="s">
        <v>1092</v>
      </c>
      <c r="B260" s="18" t="s">
        <v>806</v>
      </c>
      <c r="C260" s="18">
        <v>1</v>
      </c>
      <c r="D260" s="18" t="s">
        <v>1093</v>
      </c>
      <c r="E260" s="18" t="s">
        <v>414</v>
      </c>
      <c r="F260" s="18" t="s">
        <v>41</v>
      </c>
      <c r="G260" s="18" t="s">
        <v>415</v>
      </c>
      <c r="H260" s="18">
        <v>32</v>
      </c>
      <c r="I260" s="18">
        <v>1300</v>
      </c>
      <c r="J260" s="18">
        <v>13500</v>
      </c>
      <c r="K260" s="18">
        <v>19300</v>
      </c>
      <c r="L260" s="18">
        <v>0</v>
      </c>
      <c r="M260" s="18">
        <v>0</v>
      </c>
      <c r="N260" s="18">
        <v>0</v>
      </c>
      <c r="O260" s="18">
        <v>0</v>
      </c>
      <c r="P260" s="18">
        <v>3250</v>
      </c>
      <c r="Q260" s="18">
        <f>#REF!/#REF!</f>
        <v>2.5</v>
      </c>
      <c r="R260" s="18"/>
      <c r="S260" s="18"/>
      <c r="T260" s="18"/>
      <c r="U260" s="18"/>
      <c r="V260" s="18"/>
      <c r="W260" s="18"/>
      <c r="X260" s="18"/>
      <c r="Y260" s="18">
        <v>1</v>
      </c>
      <c r="Z260" s="18">
        <v>221</v>
      </c>
      <c r="AA260" s="18">
        <v>1245</v>
      </c>
      <c r="AB260" s="18"/>
      <c r="AC260" s="18"/>
      <c r="AD260" s="18"/>
      <c r="AE260" s="18">
        <v>455</v>
      </c>
      <c r="AF260" s="18">
        <v>683</v>
      </c>
      <c r="AG260" s="18" t="s">
        <v>41</v>
      </c>
      <c r="AH260" s="18" t="s">
        <v>862</v>
      </c>
      <c r="AI260" s="18" t="s">
        <v>41</v>
      </c>
      <c r="AJ260" s="18">
        <v>1</v>
      </c>
      <c r="AK260" s="18" t="s">
        <v>1608</v>
      </c>
      <c r="AL260" s="19" t="s">
        <v>41</v>
      </c>
    </row>
    <row r="261" spans="1:38">
      <c r="A261" s="17" t="s">
        <v>1174</v>
      </c>
      <c r="B261" s="18" t="s">
        <v>806</v>
      </c>
      <c r="C261" s="18">
        <v>2</v>
      </c>
      <c r="D261" s="18" t="s">
        <v>733</v>
      </c>
      <c r="E261" s="18" t="s">
        <v>734</v>
      </c>
      <c r="F261" s="18" t="s">
        <v>41</v>
      </c>
      <c r="G261" s="18" t="s">
        <v>326</v>
      </c>
      <c r="H261" s="18">
        <v>18</v>
      </c>
      <c r="I261" s="18">
        <v>800</v>
      </c>
      <c r="J261" s="18">
        <v>7500</v>
      </c>
      <c r="K261" s="18">
        <v>10900</v>
      </c>
      <c r="L261" s="18">
        <v>0</v>
      </c>
      <c r="M261" s="18">
        <v>0</v>
      </c>
      <c r="N261" s="18">
        <v>0</v>
      </c>
      <c r="O261" s="18">
        <v>0</v>
      </c>
      <c r="P261" s="18">
        <v>2000</v>
      </c>
      <c r="Q261" s="18">
        <f>#REF!/#REF!</f>
        <v>2.5</v>
      </c>
      <c r="R261" s="18"/>
      <c r="S261" s="18"/>
      <c r="T261" s="18"/>
      <c r="U261" s="18"/>
      <c r="V261" s="18"/>
      <c r="W261" s="18"/>
      <c r="X261" s="18"/>
      <c r="Y261" s="18">
        <v>1</v>
      </c>
      <c r="Z261" s="18">
        <v>0</v>
      </c>
      <c r="AA261" s="18">
        <v>0</v>
      </c>
      <c r="AB261" s="18"/>
      <c r="AC261" s="18"/>
      <c r="AD261" s="18"/>
      <c r="AE261" s="18">
        <v>273</v>
      </c>
      <c r="AF261" s="18">
        <v>410</v>
      </c>
      <c r="AG261" s="18" t="s">
        <v>41</v>
      </c>
      <c r="AH261" s="18" t="s">
        <v>41</v>
      </c>
      <c r="AI261" s="18" t="s">
        <v>41</v>
      </c>
      <c r="AJ261" s="18">
        <v>1</v>
      </c>
      <c r="AK261" s="18" t="s">
        <v>1645</v>
      </c>
      <c r="AL261" s="19" t="s">
        <v>41</v>
      </c>
    </row>
    <row r="262" spans="1:38">
      <c r="A262" s="17" t="s">
        <v>723</v>
      </c>
      <c r="B262" s="18" t="s">
        <v>38</v>
      </c>
      <c r="C262" s="18">
        <v>2</v>
      </c>
      <c r="D262" s="18" t="s">
        <v>724</v>
      </c>
      <c r="E262" s="18" t="s">
        <v>725</v>
      </c>
      <c r="F262" s="18" t="s">
        <v>41</v>
      </c>
      <c r="G262" s="18" t="s">
        <v>726</v>
      </c>
      <c r="H262" s="18">
        <v>19</v>
      </c>
      <c r="I262" s="18">
        <v>950</v>
      </c>
      <c r="J262" s="18">
        <v>17000</v>
      </c>
      <c r="K262" s="18">
        <v>22000</v>
      </c>
      <c r="L262" s="18">
        <v>0</v>
      </c>
      <c r="M262" s="18">
        <v>0</v>
      </c>
      <c r="N262" s="18">
        <v>0</v>
      </c>
      <c r="O262" s="18">
        <v>81</v>
      </c>
      <c r="P262" s="18">
        <v>2350</v>
      </c>
      <c r="Q262" s="18">
        <f>#REF!/#REF!</f>
        <v>2.4736842105263159</v>
      </c>
      <c r="R262" s="18"/>
      <c r="S262" s="18">
        <v>1</v>
      </c>
      <c r="T262" s="18"/>
      <c r="U262" s="18"/>
      <c r="V262" s="18"/>
      <c r="W262" s="18"/>
      <c r="X262" s="18"/>
      <c r="Y262" s="18"/>
      <c r="Z262" s="18">
        <v>175</v>
      </c>
      <c r="AA262" s="18">
        <v>400</v>
      </c>
      <c r="AB262" s="18"/>
      <c r="AC262" s="18">
        <v>525</v>
      </c>
      <c r="AD262" s="18"/>
      <c r="AE262" s="18">
        <v>390</v>
      </c>
      <c r="AF262" s="18">
        <v>585</v>
      </c>
      <c r="AG262" s="18" t="s">
        <v>41</v>
      </c>
      <c r="AH262" s="18" t="s">
        <v>168</v>
      </c>
      <c r="AI262" s="18" t="s">
        <v>41</v>
      </c>
      <c r="AJ262" s="18">
        <v>1</v>
      </c>
      <c r="AK262" s="18" t="s">
        <v>1448</v>
      </c>
      <c r="AL262" s="19" t="s">
        <v>41</v>
      </c>
    </row>
    <row r="263" spans="1:38">
      <c r="A263" s="17" t="s">
        <v>665</v>
      </c>
      <c r="B263" s="18" t="s">
        <v>38</v>
      </c>
      <c r="C263" s="18">
        <v>1</v>
      </c>
      <c r="D263" s="18" t="s">
        <v>666</v>
      </c>
      <c r="E263" s="18" t="s">
        <v>667</v>
      </c>
      <c r="F263" s="18" t="s">
        <v>41</v>
      </c>
      <c r="G263" s="18" t="s">
        <v>668</v>
      </c>
      <c r="H263" s="18">
        <v>12</v>
      </c>
      <c r="I263" s="18">
        <v>90</v>
      </c>
      <c r="J263" s="18">
        <v>4500</v>
      </c>
      <c r="K263" s="18">
        <v>5500</v>
      </c>
      <c r="L263" s="18">
        <v>0</v>
      </c>
      <c r="M263" s="18">
        <v>0</v>
      </c>
      <c r="N263" s="18">
        <v>0</v>
      </c>
      <c r="O263" s="18">
        <v>311</v>
      </c>
      <c r="P263" s="18">
        <v>220</v>
      </c>
      <c r="Q263" s="18">
        <f>#REF!/#REF!</f>
        <v>2.4444444444444446</v>
      </c>
      <c r="R263" s="18">
        <v>1</v>
      </c>
      <c r="S263" s="18"/>
      <c r="T263" s="18">
        <v>1</v>
      </c>
      <c r="U263" s="18"/>
      <c r="V263" s="18"/>
      <c r="W263" s="18"/>
      <c r="X263" s="18"/>
      <c r="Y263" s="18"/>
      <c r="Z263" s="18">
        <v>252</v>
      </c>
      <c r="AA263" s="18">
        <v>710</v>
      </c>
      <c r="AB263" s="18"/>
      <c r="AC263" s="18"/>
      <c r="AD263" s="18"/>
      <c r="AE263" s="18">
        <v>230</v>
      </c>
      <c r="AF263" s="18">
        <v>950</v>
      </c>
      <c r="AG263" s="18" t="s">
        <v>41</v>
      </c>
      <c r="AH263" s="18" t="s">
        <v>88</v>
      </c>
      <c r="AI263" s="18" t="s">
        <v>41</v>
      </c>
      <c r="AJ263" s="18">
        <v>1</v>
      </c>
      <c r="AK263" s="18" t="s">
        <v>1434</v>
      </c>
      <c r="AL263" s="19" t="s">
        <v>41</v>
      </c>
    </row>
    <row r="264" spans="1:38">
      <c r="A264" s="17" t="s">
        <v>1130</v>
      </c>
      <c r="B264" s="18" t="s">
        <v>806</v>
      </c>
      <c r="C264" s="18">
        <v>1</v>
      </c>
      <c r="D264" s="18" t="s">
        <v>1131</v>
      </c>
      <c r="E264" s="18" t="s">
        <v>667</v>
      </c>
      <c r="F264" s="18" t="s">
        <v>41</v>
      </c>
      <c r="G264" s="18" t="s">
        <v>668</v>
      </c>
      <c r="H264" s="18">
        <v>8</v>
      </c>
      <c r="I264" s="18">
        <v>90</v>
      </c>
      <c r="J264" s="18">
        <v>4600</v>
      </c>
      <c r="K264" s="18">
        <v>5200</v>
      </c>
      <c r="L264" s="18">
        <v>0</v>
      </c>
      <c r="M264" s="18">
        <v>0</v>
      </c>
      <c r="N264" s="18">
        <v>0</v>
      </c>
      <c r="O264" s="18">
        <v>316</v>
      </c>
      <c r="P264" s="18">
        <v>220</v>
      </c>
      <c r="Q264" s="18">
        <f>#REF!/#REF!</f>
        <v>2.4444444444444446</v>
      </c>
      <c r="R264" s="18">
        <v>1</v>
      </c>
      <c r="S264" s="18"/>
      <c r="T264" s="18">
        <v>1</v>
      </c>
      <c r="U264" s="18"/>
      <c r="V264" s="18"/>
      <c r="W264" s="18"/>
      <c r="X264" s="18"/>
      <c r="Y264" s="18"/>
      <c r="Z264" s="18">
        <v>240</v>
      </c>
      <c r="AA264" s="18">
        <v>710</v>
      </c>
      <c r="AB264" s="18"/>
      <c r="AC264" s="18"/>
      <c r="AD264" s="18"/>
      <c r="AE264" s="18">
        <v>230</v>
      </c>
      <c r="AF264" s="18">
        <v>950</v>
      </c>
      <c r="AG264" s="18" t="s">
        <v>41</v>
      </c>
      <c r="AH264" s="18" t="s">
        <v>88</v>
      </c>
      <c r="AI264" s="18" t="s">
        <v>41</v>
      </c>
      <c r="AJ264" s="18">
        <v>1</v>
      </c>
      <c r="AK264" s="18" t="s">
        <v>1625</v>
      </c>
      <c r="AL264" s="19" t="s">
        <v>41</v>
      </c>
    </row>
    <row r="265" spans="1:38">
      <c r="A265" s="17" t="s">
        <v>412</v>
      </c>
      <c r="B265" s="18" t="s">
        <v>38</v>
      </c>
      <c r="C265" s="18">
        <v>1</v>
      </c>
      <c r="D265" s="18" t="s">
        <v>413</v>
      </c>
      <c r="E265" s="18" t="s">
        <v>414</v>
      </c>
      <c r="F265" s="18" t="s">
        <v>41</v>
      </c>
      <c r="G265" s="18" t="s">
        <v>415</v>
      </c>
      <c r="H265" s="18">
        <v>36</v>
      </c>
      <c r="I265" s="18">
        <v>1250</v>
      </c>
      <c r="J265" s="18">
        <v>12500</v>
      </c>
      <c r="K265" s="18">
        <v>21400</v>
      </c>
      <c r="L265" s="18">
        <v>0</v>
      </c>
      <c r="M265" s="18">
        <v>0</v>
      </c>
      <c r="N265" s="18">
        <v>0</v>
      </c>
      <c r="O265" s="18">
        <v>0</v>
      </c>
      <c r="P265" s="18">
        <v>3050</v>
      </c>
      <c r="Q265" s="18">
        <f>#REF!/#REF!</f>
        <v>2.44</v>
      </c>
      <c r="R265" s="18"/>
      <c r="S265" s="18"/>
      <c r="T265" s="18"/>
      <c r="U265" s="18"/>
      <c r="V265" s="18"/>
      <c r="W265" s="18"/>
      <c r="X265" s="18"/>
      <c r="Y265" s="18">
        <v>1</v>
      </c>
      <c r="Z265" s="18">
        <v>212</v>
      </c>
      <c r="AA265" s="18">
        <v>1220</v>
      </c>
      <c r="AB265" s="18"/>
      <c r="AC265" s="18"/>
      <c r="AD265" s="18"/>
      <c r="AE265" s="18">
        <v>455</v>
      </c>
      <c r="AF265" s="18">
        <v>683</v>
      </c>
      <c r="AG265" s="18" t="s">
        <v>41</v>
      </c>
      <c r="AH265" s="18" t="s">
        <v>862</v>
      </c>
      <c r="AI265" s="18" t="s">
        <v>41</v>
      </c>
      <c r="AJ265" s="18">
        <v>1</v>
      </c>
      <c r="AK265" s="18" t="s">
        <v>1363</v>
      </c>
      <c r="AL265" s="19" t="s">
        <v>41</v>
      </c>
    </row>
    <row r="266" spans="1:38">
      <c r="A266" s="17" t="s">
        <v>564</v>
      </c>
      <c r="B266" s="18" t="s">
        <v>38</v>
      </c>
      <c r="C266" s="18">
        <v>1</v>
      </c>
      <c r="D266" s="18" t="s">
        <v>565</v>
      </c>
      <c r="E266" s="18" t="s">
        <v>562</v>
      </c>
      <c r="F266" s="18" t="s">
        <v>41</v>
      </c>
      <c r="G266" s="18" t="s">
        <v>563</v>
      </c>
      <c r="H266" s="18">
        <v>30</v>
      </c>
      <c r="I266" s="18">
        <v>230</v>
      </c>
      <c r="J266" s="18">
        <v>2600</v>
      </c>
      <c r="K266" s="18">
        <v>5300</v>
      </c>
      <c r="L266" s="18">
        <v>0</v>
      </c>
      <c r="M266" s="18">
        <v>0</v>
      </c>
      <c r="N266" s="18">
        <v>200</v>
      </c>
      <c r="O266" s="18">
        <v>0</v>
      </c>
      <c r="P266" s="18">
        <v>560</v>
      </c>
      <c r="Q266" s="18">
        <f>#REF!/#REF!</f>
        <v>2.4347826086956523</v>
      </c>
      <c r="R266" s="18"/>
      <c r="S266" s="18"/>
      <c r="T266" s="18"/>
      <c r="U266" s="18"/>
      <c r="V266" s="18"/>
      <c r="W266" s="18"/>
      <c r="X266" s="18"/>
      <c r="Y266" s="18">
        <v>1</v>
      </c>
      <c r="Z266" s="18">
        <v>0</v>
      </c>
      <c r="AA266" s="18">
        <v>0</v>
      </c>
      <c r="AB266" s="18"/>
      <c r="AC266" s="18"/>
      <c r="AD266" s="18"/>
      <c r="AE266" s="18">
        <v>380</v>
      </c>
      <c r="AF266" s="18">
        <v>570</v>
      </c>
      <c r="AG266" s="18" t="s">
        <v>41</v>
      </c>
      <c r="AH266" s="18" t="s">
        <v>41</v>
      </c>
      <c r="AI266" s="18" t="s">
        <v>41</v>
      </c>
      <c r="AJ266" s="18">
        <v>1</v>
      </c>
      <c r="AK266" s="18" t="s">
        <v>1408</v>
      </c>
      <c r="AL266" s="19" t="s">
        <v>41</v>
      </c>
    </row>
    <row r="267" spans="1:38">
      <c r="A267" s="17" t="s">
        <v>1077</v>
      </c>
      <c r="B267" s="18" t="s">
        <v>806</v>
      </c>
      <c r="C267" s="18">
        <v>1</v>
      </c>
      <c r="D267" s="18" t="s">
        <v>565</v>
      </c>
      <c r="E267" s="18" t="s">
        <v>562</v>
      </c>
      <c r="F267" s="18" t="s">
        <v>41</v>
      </c>
      <c r="G267" s="18" t="s">
        <v>563</v>
      </c>
      <c r="H267" s="18">
        <v>39</v>
      </c>
      <c r="I267" s="18">
        <v>230</v>
      </c>
      <c r="J267" s="18">
        <v>2600</v>
      </c>
      <c r="K267" s="18">
        <v>5300</v>
      </c>
      <c r="L267" s="18">
        <v>0</v>
      </c>
      <c r="M267" s="18">
        <v>0</v>
      </c>
      <c r="N267" s="18">
        <v>200</v>
      </c>
      <c r="O267" s="18">
        <v>0</v>
      </c>
      <c r="P267" s="18">
        <v>560</v>
      </c>
      <c r="Q267" s="18">
        <f>#REF!/#REF!</f>
        <v>2.4347826086956523</v>
      </c>
      <c r="R267" s="18"/>
      <c r="S267" s="18"/>
      <c r="T267" s="18"/>
      <c r="U267" s="18"/>
      <c r="V267" s="18"/>
      <c r="W267" s="18"/>
      <c r="X267" s="18"/>
      <c r="Y267" s="18">
        <v>1</v>
      </c>
      <c r="Z267" s="18">
        <v>0</v>
      </c>
      <c r="AA267" s="18">
        <v>0</v>
      </c>
      <c r="AB267" s="18"/>
      <c r="AC267" s="18"/>
      <c r="AD267" s="18"/>
      <c r="AE267" s="18">
        <v>380</v>
      </c>
      <c r="AF267" s="18">
        <v>570</v>
      </c>
      <c r="AG267" s="18" t="s">
        <v>41</v>
      </c>
      <c r="AH267" s="18" t="s">
        <v>41</v>
      </c>
      <c r="AI267" s="18" t="s">
        <v>41</v>
      </c>
      <c r="AJ267" s="18">
        <v>1</v>
      </c>
      <c r="AK267" s="18" t="s">
        <v>1602</v>
      </c>
      <c r="AL267" s="19" t="s">
        <v>41</v>
      </c>
    </row>
    <row r="268" spans="1:38">
      <c r="A268" s="17" t="s">
        <v>100</v>
      </c>
      <c r="B268" s="18" t="s">
        <v>38</v>
      </c>
      <c r="C268" s="18">
        <v>2</v>
      </c>
      <c r="D268" s="18" t="s">
        <v>101</v>
      </c>
      <c r="E268" s="18" t="s">
        <v>102</v>
      </c>
      <c r="F268" s="18" t="s">
        <v>41</v>
      </c>
      <c r="G268" s="18" t="s">
        <v>103</v>
      </c>
      <c r="H268" s="18">
        <v>68</v>
      </c>
      <c r="I268" s="18">
        <v>1500</v>
      </c>
      <c r="J268" s="18">
        <v>38000</v>
      </c>
      <c r="K268" s="18">
        <v>60000</v>
      </c>
      <c r="L268" s="18">
        <v>0</v>
      </c>
      <c r="M268" s="18">
        <v>0</v>
      </c>
      <c r="N268" s="18">
        <v>0</v>
      </c>
      <c r="O268" s="18">
        <v>0</v>
      </c>
      <c r="P268" s="18">
        <v>3650</v>
      </c>
      <c r="Q268" s="18">
        <f>#REF!/#REF!</f>
        <v>2.4333333333333331</v>
      </c>
      <c r="R268" s="18"/>
      <c r="S268" s="18"/>
      <c r="T268" s="18"/>
      <c r="U268" s="18"/>
      <c r="V268" s="18"/>
      <c r="W268" s="18"/>
      <c r="X268" s="18"/>
      <c r="Y268" s="18">
        <v>1</v>
      </c>
      <c r="Z268" s="18">
        <v>750</v>
      </c>
      <c r="AA268" s="18">
        <v>72000</v>
      </c>
      <c r="AB268" s="18"/>
      <c r="AC268" s="18"/>
      <c r="AD268" s="18">
        <v>50</v>
      </c>
      <c r="AE268" s="18">
        <v>201</v>
      </c>
      <c r="AF268" s="18">
        <v>302</v>
      </c>
      <c r="AG268" s="18" t="s">
        <v>41</v>
      </c>
      <c r="AH268" s="18" t="s">
        <v>104</v>
      </c>
      <c r="AI268" s="18" t="s">
        <v>41</v>
      </c>
      <c r="AJ268" s="18">
        <v>1</v>
      </c>
      <c r="AK268" s="18" t="s">
        <v>1285</v>
      </c>
      <c r="AL268" s="19" t="s">
        <v>41</v>
      </c>
    </row>
    <row r="269" spans="1:38">
      <c r="A269" s="17" t="s">
        <v>958</v>
      </c>
      <c r="B269" s="18" t="s">
        <v>806</v>
      </c>
      <c r="C269" s="18">
        <v>2</v>
      </c>
      <c r="D269" s="18" t="s">
        <v>959</v>
      </c>
      <c r="E269" s="18" t="s">
        <v>102</v>
      </c>
      <c r="F269" s="18" t="s">
        <v>41</v>
      </c>
      <c r="G269" s="18" t="s">
        <v>103</v>
      </c>
      <c r="H269" s="18">
        <v>38</v>
      </c>
      <c r="I269" s="18">
        <v>1500</v>
      </c>
      <c r="J269" s="18">
        <v>40000</v>
      </c>
      <c r="K269" s="18">
        <v>60000</v>
      </c>
      <c r="L269" s="18">
        <v>0</v>
      </c>
      <c r="M269" s="18">
        <v>0</v>
      </c>
      <c r="N269" s="18">
        <v>0</v>
      </c>
      <c r="O269" s="18">
        <v>0</v>
      </c>
      <c r="P269" s="18">
        <v>3650</v>
      </c>
      <c r="Q269" s="18">
        <f>#REF!/#REF!</f>
        <v>2.4333333333333331</v>
      </c>
      <c r="R269" s="18"/>
      <c r="S269" s="18"/>
      <c r="T269" s="18"/>
      <c r="U269" s="18"/>
      <c r="V269" s="18"/>
      <c r="W269" s="18"/>
      <c r="X269" s="18"/>
      <c r="Y269" s="18">
        <v>1</v>
      </c>
      <c r="Z269" s="18">
        <v>750</v>
      </c>
      <c r="AA269" s="18">
        <v>72000</v>
      </c>
      <c r="AB269" s="18"/>
      <c r="AC269" s="18"/>
      <c r="AD269" s="18">
        <v>50</v>
      </c>
      <c r="AE269" s="18">
        <v>195</v>
      </c>
      <c r="AF269" s="18">
        <v>293</v>
      </c>
      <c r="AG269" s="18" t="s">
        <v>41</v>
      </c>
      <c r="AH269" s="18" t="s">
        <v>104</v>
      </c>
      <c r="AI269" s="18" t="s">
        <v>41</v>
      </c>
      <c r="AJ269" s="18">
        <v>1</v>
      </c>
      <c r="AK269" s="18" t="s">
        <v>1541</v>
      </c>
      <c r="AL269" s="19" t="s">
        <v>41</v>
      </c>
    </row>
    <row r="270" spans="1:38">
      <c r="A270" s="17" t="s">
        <v>199</v>
      </c>
      <c r="B270" s="18" t="s">
        <v>38</v>
      </c>
      <c r="C270" s="18">
        <v>2</v>
      </c>
      <c r="D270" s="18" t="s">
        <v>200</v>
      </c>
      <c r="E270" s="18" t="s">
        <v>201</v>
      </c>
      <c r="F270" s="18" t="s">
        <v>41</v>
      </c>
      <c r="G270" s="18" t="s">
        <v>202</v>
      </c>
      <c r="H270" s="18">
        <v>8</v>
      </c>
      <c r="I270" s="18">
        <v>1250</v>
      </c>
      <c r="J270" s="18">
        <v>22000</v>
      </c>
      <c r="K270" s="18">
        <v>24000</v>
      </c>
      <c r="L270" s="18">
        <v>0</v>
      </c>
      <c r="M270" s="18">
        <v>0</v>
      </c>
      <c r="N270" s="18">
        <v>0</v>
      </c>
      <c r="O270" s="18">
        <v>204</v>
      </c>
      <c r="P270" s="18">
        <v>3000</v>
      </c>
      <c r="Q270" s="18">
        <f>#REF!/#REF!</f>
        <v>2.4</v>
      </c>
      <c r="R270" s="18"/>
      <c r="S270" s="18"/>
      <c r="T270" s="18">
        <v>1</v>
      </c>
      <c r="U270" s="18"/>
      <c r="V270" s="18"/>
      <c r="W270" s="18"/>
      <c r="X270" s="18"/>
      <c r="Y270" s="18"/>
      <c r="Z270" s="18">
        <v>168</v>
      </c>
      <c r="AA270" s="18">
        <v>420</v>
      </c>
      <c r="AB270" s="18"/>
      <c r="AC270" s="18"/>
      <c r="AD270" s="18"/>
      <c r="AE270" s="18">
        <v>624</v>
      </c>
      <c r="AF270" s="18">
        <v>936</v>
      </c>
      <c r="AG270" s="18" t="s">
        <v>41</v>
      </c>
      <c r="AH270" s="18" t="s">
        <v>88</v>
      </c>
      <c r="AI270" s="18" t="s">
        <v>41</v>
      </c>
      <c r="AJ270" s="18">
        <v>1</v>
      </c>
      <c r="AK270" s="18" t="s">
        <v>1311</v>
      </c>
      <c r="AL270" s="19" t="s">
        <v>41</v>
      </c>
    </row>
    <row r="271" spans="1:38">
      <c r="A271" s="17" t="s">
        <v>510</v>
      </c>
      <c r="B271" s="18" t="s">
        <v>38</v>
      </c>
      <c r="C271" s="18">
        <v>2</v>
      </c>
      <c r="D271" s="18" t="s">
        <v>511</v>
      </c>
      <c r="E271" s="18" t="s">
        <v>512</v>
      </c>
      <c r="F271" s="18" t="s">
        <v>41</v>
      </c>
      <c r="G271" s="18" t="s">
        <v>513</v>
      </c>
      <c r="H271" s="18">
        <v>52</v>
      </c>
      <c r="I271" s="18">
        <v>650</v>
      </c>
      <c r="J271" s="18">
        <v>11000</v>
      </c>
      <c r="K271" s="18">
        <v>17000</v>
      </c>
      <c r="L271" s="18">
        <v>0</v>
      </c>
      <c r="M271" s="18">
        <v>0</v>
      </c>
      <c r="N271" s="18">
        <v>0</v>
      </c>
      <c r="O271" s="18">
        <v>50</v>
      </c>
      <c r="P271" s="18">
        <v>1560</v>
      </c>
      <c r="Q271" s="18">
        <f>#REF!/#REF!</f>
        <v>2.4</v>
      </c>
      <c r="R271" s="18"/>
      <c r="S271" s="18"/>
      <c r="T271" s="18"/>
      <c r="U271" s="18"/>
      <c r="V271" s="18"/>
      <c r="W271" s="18"/>
      <c r="X271" s="18"/>
      <c r="Y271" s="18"/>
      <c r="Z271" s="18">
        <v>265</v>
      </c>
      <c r="AA271" s="18">
        <v>365</v>
      </c>
      <c r="AB271" s="18"/>
      <c r="AC271" s="18"/>
      <c r="AD271" s="18"/>
      <c r="AE271" s="18">
        <v>550</v>
      </c>
      <c r="AF271" s="18">
        <v>825</v>
      </c>
      <c r="AG271" s="18" t="s">
        <v>41</v>
      </c>
      <c r="AH271" s="18" t="s">
        <v>124</v>
      </c>
      <c r="AI271" s="18" t="s">
        <v>41</v>
      </c>
      <c r="AJ271" s="18">
        <v>1</v>
      </c>
      <c r="AK271" s="18" t="s">
        <v>1392</v>
      </c>
      <c r="AL271" s="19" t="s">
        <v>41</v>
      </c>
    </row>
    <row r="272" spans="1:38">
      <c r="A272" s="17" t="s">
        <v>132</v>
      </c>
      <c r="B272" s="18" t="s">
        <v>38</v>
      </c>
      <c r="C272" s="18">
        <v>1</v>
      </c>
      <c r="D272" s="18" t="s">
        <v>133</v>
      </c>
      <c r="E272" s="18" t="s">
        <v>134</v>
      </c>
      <c r="F272" s="18" t="s">
        <v>41</v>
      </c>
      <c r="G272" s="18" t="s">
        <v>135</v>
      </c>
      <c r="H272" s="18">
        <v>50</v>
      </c>
      <c r="I272" s="18">
        <v>860</v>
      </c>
      <c r="J272" s="18">
        <v>1350</v>
      </c>
      <c r="K272" s="18">
        <v>7250</v>
      </c>
      <c r="L272" s="18">
        <v>0</v>
      </c>
      <c r="M272" s="18">
        <v>0</v>
      </c>
      <c r="N272" s="18">
        <v>100</v>
      </c>
      <c r="O272" s="18">
        <v>0</v>
      </c>
      <c r="P272" s="18">
        <v>2050</v>
      </c>
      <c r="Q272" s="18">
        <f>#REF!/#REF!</f>
        <v>2.3837209302325579</v>
      </c>
      <c r="R272" s="18"/>
      <c r="S272" s="18"/>
      <c r="T272" s="18"/>
      <c r="U272" s="18"/>
      <c r="V272" s="18"/>
      <c r="W272" s="18"/>
      <c r="X272" s="18"/>
      <c r="Y272" s="18">
        <v>1</v>
      </c>
      <c r="Z272" s="18">
        <v>0</v>
      </c>
      <c r="AA272" s="18">
        <v>0</v>
      </c>
      <c r="AB272" s="18"/>
      <c r="AC272" s="18"/>
      <c r="AD272" s="18">
        <v>510</v>
      </c>
      <c r="AE272" s="18">
        <v>292</v>
      </c>
      <c r="AF272" s="18">
        <v>438</v>
      </c>
      <c r="AG272" s="18" t="s">
        <v>41</v>
      </c>
      <c r="AH272" s="18" t="s">
        <v>41</v>
      </c>
      <c r="AI272" s="18" t="s">
        <v>1293</v>
      </c>
      <c r="AJ272" s="18">
        <v>1</v>
      </c>
      <c r="AK272" s="18" t="s">
        <v>1294</v>
      </c>
      <c r="AL272" s="19" t="s">
        <v>41</v>
      </c>
    </row>
    <row r="273" spans="1:38">
      <c r="A273" s="17" t="s">
        <v>1158</v>
      </c>
      <c r="B273" s="18" t="s">
        <v>806</v>
      </c>
      <c r="C273" s="18">
        <v>1</v>
      </c>
      <c r="D273" s="18" t="s">
        <v>696</v>
      </c>
      <c r="E273" s="18" t="s">
        <v>697</v>
      </c>
      <c r="F273" s="18" t="s">
        <v>41</v>
      </c>
      <c r="G273" s="18" t="s">
        <v>698</v>
      </c>
      <c r="H273" s="18">
        <v>34</v>
      </c>
      <c r="I273" s="18">
        <v>150</v>
      </c>
      <c r="J273" s="18">
        <v>0</v>
      </c>
      <c r="K273" s="18">
        <v>2800</v>
      </c>
      <c r="L273" s="18">
        <v>0</v>
      </c>
      <c r="M273" s="18">
        <v>0</v>
      </c>
      <c r="N273" s="18">
        <v>0</v>
      </c>
      <c r="O273" s="18">
        <v>0</v>
      </c>
      <c r="P273" s="18">
        <v>355</v>
      </c>
      <c r="Q273" s="18">
        <f>#REF!/#REF!</f>
        <v>2.3666666666666667</v>
      </c>
      <c r="R273" s="18"/>
      <c r="S273" s="18"/>
      <c r="T273" s="18"/>
      <c r="U273" s="18"/>
      <c r="V273" s="18"/>
      <c r="W273" s="18"/>
      <c r="X273" s="18"/>
      <c r="Y273" s="18">
        <v>1</v>
      </c>
      <c r="Z273" s="18">
        <v>0</v>
      </c>
      <c r="AA273" s="18">
        <v>0</v>
      </c>
      <c r="AB273" s="18"/>
      <c r="AC273" s="18"/>
      <c r="AD273" s="18"/>
      <c r="AE273" s="18">
        <v>273</v>
      </c>
      <c r="AF273" s="18">
        <v>410</v>
      </c>
      <c r="AG273" s="18" t="s">
        <v>41</v>
      </c>
      <c r="AH273" s="18" t="s">
        <v>41</v>
      </c>
      <c r="AI273" s="18" t="s">
        <v>41</v>
      </c>
      <c r="AJ273" s="18">
        <v>1</v>
      </c>
      <c r="AK273" s="18" t="s">
        <v>1637</v>
      </c>
      <c r="AL273" s="19" t="s">
        <v>41</v>
      </c>
    </row>
    <row r="274" spans="1:38">
      <c r="A274" s="17" t="s">
        <v>494</v>
      </c>
      <c r="B274" s="18" t="s">
        <v>38</v>
      </c>
      <c r="C274" s="18">
        <v>2</v>
      </c>
      <c r="D274" s="18" t="s">
        <v>495</v>
      </c>
      <c r="E274" s="18" t="s">
        <v>496</v>
      </c>
      <c r="F274" s="18" t="s">
        <v>41</v>
      </c>
      <c r="G274" s="18" t="s">
        <v>497</v>
      </c>
      <c r="H274" s="18">
        <v>56</v>
      </c>
      <c r="I274" s="18">
        <v>1200</v>
      </c>
      <c r="J274" s="18">
        <v>13500</v>
      </c>
      <c r="K274" s="18">
        <v>25700</v>
      </c>
      <c r="L274" s="18">
        <v>0</v>
      </c>
      <c r="M274" s="18">
        <v>0</v>
      </c>
      <c r="N274" s="18">
        <v>0</v>
      </c>
      <c r="O274" s="18">
        <v>42</v>
      </c>
      <c r="P274" s="18">
        <v>2800</v>
      </c>
      <c r="Q274" s="18">
        <f>#REF!/#REF!</f>
        <v>2.3333333333333335</v>
      </c>
      <c r="R274" s="18"/>
      <c r="S274" s="18"/>
      <c r="T274" s="18"/>
      <c r="U274" s="18"/>
      <c r="V274" s="18"/>
      <c r="W274" s="18"/>
      <c r="X274" s="18"/>
      <c r="Y274" s="18"/>
      <c r="Z274" s="18">
        <v>532</v>
      </c>
      <c r="AA274" s="18">
        <v>950</v>
      </c>
      <c r="AB274" s="18"/>
      <c r="AC274" s="18"/>
      <c r="AD274" s="18"/>
      <c r="AE274" s="18">
        <v>650</v>
      </c>
      <c r="AF274" s="18">
        <v>975</v>
      </c>
      <c r="AG274" s="18" t="s">
        <v>41</v>
      </c>
      <c r="AH274" s="18" t="s">
        <v>128</v>
      </c>
      <c r="AI274" s="18" t="s">
        <v>41</v>
      </c>
      <c r="AJ274" s="18">
        <v>1</v>
      </c>
      <c r="AK274" s="18" t="s">
        <v>1388</v>
      </c>
      <c r="AL274" s="19" t="s">
        <v>41</v>
      </c>
    </row>
    <row r="275" spans="1:38">
      <c r="A275" s="17" t="s">
        <v>832</v>
      </c>
      <c r="B275" s="18" t="s">
        <v>806</v>
      </c>
      <c r="C275" s="18">
        <v>1</v>
      </c>
      <c r="D275" s="18" t="s">
        <v>116</v>
      </c>
      <c r="E275" s="18" t="s">
        <v>117</v>
      </c>
      <c r="F275" s="18" t="s">
        <v>41</v>
      </c>
      <c r="G275" s="18" t="s">
        <v>118</v>
      </c>
      <c r="H275" s="18">
        <v>30</v>
      </c>
      <c r="I275" s="18">
        <v>1200</v>
      </c>
      <c r="J275" s="18">
        <v>5600</v>
      </c>
      <c r="K275" s="18">
        <v>11400</v>
      </c>
      <c r="L275" s="18">
        <v>0</v>
      </c>
      <c r="M275" s="18">
        <v>0</v>
      </c>
      <c r="N275" s="18">
        <v>150</v>
      </c>
      <c r="O275" s="18">
        <v>0</v>
      </c>
      <c r="P275" s="18">
        <v>2800</v>
      </c>
      <c r="Q275" s="18">
        <f>#REF!/#REF!</f>
        <v>2.3333333333333335</v>
      </c>
      <c r="R275" s="18"/>
      <c r="S275" s="18">
        <v>1</v>
      </c>
      <c r="T275" s="18"/>
      <c r="U275" s="18"/>
      <c r="V275" s="18"/>
      <c r="W275" s="18"/>
      <c r="X275" s="18"/>
      <c r="Y275" s="18">
        <v>1</v>
      </c>
      <c r="Z275" s="18">
        <v>0</v>
      </c>
      <c r="AA275" s="18">
        <v>0</v>
      </c>
      <c r="AB275" s="18"/>
      <c r="AC275" s="18"/>
      <c r="AD275" s="18"/>
      <c r="AE275" s="18">
        <v>240</v>
      </c>
      <c r="AF275" s="18">
        <v>360</v>
      </c>
      <c r="AG275" s="18" t="s">
        <v>41</v>
      </c>
      <c r="AH275" s="18" t="s">
        <v>41</v>
      </c>
      <c r="AI275" s="18" t="s">
        <v>833</v>
      </c>
      <c r="AJ275" s="18">
        <v>1</v>
      </c>
      <c r="AK275" s="18" t="s">
        <v>1487</v>
      </c>
      <c r="AL275" s="19" t="s">
        <v>41</v>
      </c>
    </row>
    <row r="276" spans="1:38">
      <c r="A276" s="17" t="s">
        <v>1161</v>
      </c>
      <c r="B276" s="18" t="s">
        <v>806</v>
      </c>
      <c r="C276" s="18">
        <v>2</v>
      </c>
      <c r="D276" s="18" t="s">
        <v>1162</v>
      </c>
      <c r="E276" s="18" t="s">
        <v>709</v>
      </c>
      <c r="F276" s="18" t="s">
        <v>41</v>
      </c>
      <c r="G276" s="18" t="s">
        <v>710</v>
      </c>
      <c r="H276" s="18">
        <v>27</v>
      </c>
      <c r="I276" s="18">
        <v>165</v>
      </c>
      <c r="J276" s="18">
        <v>12500</v>
      </c>
      <c r="K276" s="18">
        <v>22200</v>
      </c>
      <c r="L276" s="18">
        <v>0</v>
      </c>
      <c r="M276" s="18">
        <v>0</v>
      </c>
      <c r="N276" s="18">
        <v>50</v>
      </c>
      <c r="O276" s="18">
        <v>62</v>
      </c>
      <c r="P276" s="18">
        <v>380</v>
      </c>
      <c r="Q276" s="18">
        <f>#REF!/#REF!</f>
        <v>2.3030303030303032</v>
      </c>
      <c r="R276" s="18"/>
      <c r="S276" s="18"/>
      <c r="T276" s="18"/>
      <c r="U276" s="18"/>
      <c r="V276" s="18"/>
      <c r="W276" s="18"/>
      <c r="X276" s="18"/>
      <c r="Y276" s="18"/>
      <c r="Z276" s="18">
        <v>0</v>
      </c>
      <c r="AA276" s="18">
        <v>0</v>
      </c>
      <c r="AB276" s="18"/>
      <c r="AC276" s="18"/>
      <c r="AD276" s="18"/>
      <c r="AE276" s="18">
        <v>550</v>
      </c>
      <c r="AF276" s="18">
        <v>825</v>
      </c>
      <c r="AG276" s="18" t="s">
        <v>377</v>
      </c>
      <c r="AH276" s="18" t="s">
        <v>41</v>
      </c>
      <c r="AI276" s="18" t="s">
        <v>41</v>
      </c>
      <c r="AJ276" s="18">
        <v>1</v>
      </c>
      <c r="AK276" s="18" t="s">
        <v>1639</v>
      </c>
      <c r="AL276" s="19" t="s">
        <v>41</v>
      </c>
    </row>
    <row r="277" spans="1:38">
      <c r="A277" s="17" t="s">
        <v>1067</v>
      </c>
      <c r="B277" s="18" t="s">
        <v>806</v>
      </c>
      <c r="C277" s="18">
        <v>2</v>
      </c>
      <c r="D277" s="18" t="s">
        <v>1068</v>
      </c>
      <c r="E277" s="18" t="s">
        <v>1069</v>
      </c>
      <c r="F277" s="18" t="s">
        <v>41</v>
      </c>
      <c r="G277" s="18" t="s">
        <v>358</v>
      </c>
      <c r="H277" s="18">
        <v>32</v>
      </c>
      <c r="I277" s="18">
        <v>410</v>
      </c>
      <c r="J277" s="18">
        <v>2200</v>
      </c>
      <c r="K277" s="18">
        <v>5140</v>
      </c>
      <c r="L277" s="18">
        <v>0</v>
      </c>
      <c r="M277" s="18">
        <v>0</v>
      </c>
      <c r="N277" s="18">
        <v>0</v>
      </c>
      <c r="O277" s="18">
        <v>50</v>
      </c>
      <c r="P277" s="18">
        <v>940</v>
      </c>
      <c r="Q277" s="18">
        <f>#REF!/#REF!</f>
        <v>2.2926829268292681</v>
      </c>
      <c r="R277" s="18"/>
      <c r="S277" s="18"/>
      <c r="T277" s="18"/>
      <c r="U277" s="18"/>
      <c r="V277" s="18"/>
      <c r="W277" s="18"/>
      <c r="X277" s="18"/>
      <c r="Y277" s="18"/>
      <c r="Z277" s="18">
        <v>66</v>
      </c>
      <c r="AA277" s="18">
        <v>850</v>
      </c>
      <c r="AB277" s="18"/>
      <c r="AC277" s="18"/>
      <c r="AD277" s="18"/>
      <c r="AE277" s="18">
        <v>300</v>
      </c>
      <c r="AF277" s="18">
        <v>450</v>
      </c>
      <c r="AG277" s="18" t="s">
        <v>41</v>
      </c>
      <c r="AH277" s="18" t="s">
        <v>124</v>
      </c>
      <c r="AI277" s="18" t="s">
        <v>41</v>
      </c>
      <c r="AJ277" s="18">
        <v>1</v>
      </c>
      <c r="AK277" s="18" t="s">
        <v>1596</v>
      </c>
      <c r="AL277" s="19" t="s">
        <v>41</v>
      </c>
    </row>
    <row r="278" spans="1:38">
      <c r="A278" s="17" t="s">
        <v>359</v>
      </c>
      <c r="B278" s="18" t="s">
        <v>38</v>
      </c>
      <c r="C278" s="18">
        <v>1</v>
      </c>
      <c r="D278" s="18" t="s">
        <v>360</v>
      </c>
      <c r="E278" s="18" t="s">
        <v>361</v>
      </c>
      <c r="F278" s="18" t="s">
        <v>41</v>
      </c>
      <c r="G278" s="18" t="s">
        <v>18</v>
      </c>
      <c r="H278" s="18">
        <v>8</v>
      </c>
      <c r="I278" s="18">
        <v>73</v>
      </c>
      <c r="J278" s="18">
        <v>2900</v>
      </c>
      <c r="K278" s="18">
        <v>3500</v>
      </c>
      <c r="L278" s="18">
        <v>0</v>
      </c>
      <c r="M278" s="18">
        <v>0</v>
      </c>
      <c r="N278" s="18">
        <v>0</v>
      </c>
      <c r="O278" s="18">
        <v>289</v>
      </c>
      <c r="P278" s="18">
        <v>167</v>
      </c>
      <c r="Q278" s="18">
        <f>#REF!/#REF!</f>
        <v>2.2876712328767121</v>
      </c>
      <c r="R278" s="18"/>
      <c r="S278" s="18"/>
      <c r="T278" s="18">
        <v>1</v>
      </c>
      <c r="U278" s="18"/>
      <c r="V278" s="18"/>
      <c r="W278" s="18"/>
      <c r="X278" s="18"/>
      <c r="Y278" s="18"/>
      <c r="Z278" s="18">
        <v>139</v>
      </c>
      <c r="AA278" s="18">
        <v>680</v>
      </c>
      <c r="AB278" s="18"/>
      <c r="AC278" s="18"/>
      <c r="AD278" s="18"/>
      <c r="AE278" s="18">
        <v>210</v>
      </c>
      <c r="AF278" s="18">
        <v>950</v>
      </c>
      <c r="AG278" s="18" t="s">
        <v>41</v>
      </c>
      <c r="AH278" s="18" t="s">
        <v>88</v>
      </c>
      <c r="AI278" s="18" t="s">
        <v>41</v>
      </c>
      <c r="AJ278" s="18">
        <v>1</v>
      </c>
      <c r="AK278" s="18" t="s">
        <v>1349</v>
      </c>
      <c r="AL278" s="19" t="s">
        <v>41</v>
      </c>
    </row>
    <row r="279" spans="1:38">
      <c r="A279" s="17" t="s">
        <v>342</v>
      </c>
      <c r="B279" s="18" t="s">
        <v>38</v>
      </c>
      <c r="C279" s="18">
        <v>2</v>
      </c>
      <c r="D279" s="18" t="s">
        <v>343</v>
      </c>
      <c r="E279" s="18" t="s">
        <v>344</v>
      </c>
      <c r="F279" s="18" t="s">
        <v>41</v>
      </c>
      <c r="G279" s="18" t="s">
        <v>345</v>
      </c>
      <c r="H279" s="18">
        <v>41</v>
      </c>
      <c r="I279" s="18">
        <v>850</v>
      </c>
      <c r="J279" s="18">
        <v>23000</v>
      </c>
      <c r="K279" s="18">
        <v>21900</v>
      </c>
      <c r="L279" s="18">
        <v>0</v>
      </c>
      <c r="M279" s="18">
        <v>0</v>
      </c>
      <c r="N279" s="18">
        <v>0</v>
      </c>
      <c r="O279" s="18">
        <v>0</v>
      </c>
      <c r="P279" s="18">
        <v>1920</v>
      </c>
      <c r="Q279" s="18">
        <f>#REF!/#REF!</f>
        <v>2.2588235294117647</v>
      </c>
      <c r="R279" s="18"/>
      <c r="S279" s="18"/>
      <c r="T279" s="18"/>
      <c r="U279" s="18"/>
      <c r="V279" s="18"/>
      <c r="W279" s="18"/>
      <c r="X279" s="18"/>
      <c r="Y279" s="18">
        <v>1</v>
      </c>
      <c r="Z279" s="18">
        <v>469</v>
      </c>
      <c r="AA279" s="18">
        <v>775</v>
      </c>
      <c r="AB279" s="18"/>
      <c r="AC279" s="18"/>
      <c r="AD279" s="18"/>
      <c r="AE279" s="18">
        <v>550</v>
      </c>
      <c r="AF279" s="18">
        <v>1000</v>
      </c>
      <c r="AG279" s="18" t="s">
        <v>41</v>
      </c>
      <c r="AH279" s="18" t="s">
        <v>124</v>
      </c>
      <c r="AI279" s="18" t="s">
        <v>41</v>
      </c>
      <c r="AJ279" s="18">
        <v>1</v>
      </c>
      <c r="AK279" s="18" t="s">
        <v>1345</v>
      </c>
      <c r="AL279" s="19" t="s">
        <v>41</v>
      </c>
    </row>
    <row r="280" spans="1:38">
      <c r="A280" s="17" t="s">
        <v>80</v>
      </c>
      <c r="B280" s="18" t="s">
        <v>38</v>
      </c>
      <c r="C280" s="18">
        <v>2</v>
      </c>
      <c r="D280" s="18" t="s">
        <v>81</v>
      </c>
      <c r="E280" s="18" t="s">
        <v>82</v>
      </c>
      <c r="F280" s="18" t="s">
        <v>41</v>
      </c>
      <c r="G280" s="18" t="s">
        <v>83</v>
      </c>
      <c r="H280" s="18">
        <v>56</v>
      </c>
      <c r="I280" s="18">
        <v>1600</v>
      </c>
      <c r="J280" s="18">
        <v>27000</v>
      </c>
      <c r="K280" s="18">
        <v>33300</v>
      </c>
      <c r="L280" s="18">
        <v>0</v>
      </c>
      <c r="M280" s="18">
        <v>1250</v>
      </c>
      <c r="N280" s="18">
        <v>0</v>
      </c>
      <c r="O280" s="18">
        <v>0</v>
      </c>
      <c r="P280" s="18">
        <v>3600</v>
      </c>
      <c r="Q280" s="18">
        <f>#REF!/#REF!</f>
        <v>2.25</v>
      </c>
      <c r="R280" s="18"/>
      <c r="S280" s="18"/>
      <c r="T280" s="18"/>
      <c r="U280" s="18"/>
      <c r="V280" s="18"/>
      <c r="W280" s="18"/>
      <c r="X280" s="18"/>
      <c r="Y280" s="18">
        <v>1</v>
      </c>
      <c r="Z280" s="18">
        <v>0</v>
      </c>
      <c r="AA280" s="18">
        <v>0</v>
      </c>
      <c r="AB280" s="18"/>
      <c r="AC280" s="18"/>
      <c r="AD280" s="18"/>
      <c r="AE280" s="18">
        <v>273</v>
      </c>
      <c r="AF280" s="18">
        <v>410</v>
      </c>
      <c r="AG280" s="18" t="s">
        <v>41</v>
      </c>
      <c r="AH280" s="18" t="s">
        <v>41</v>
      </c>
      <c r="AI280" s="18" t="s">
        <v>41</v>
      </c>
      <c r="AJ280" s="18">
        <v>1</v>
      </c>
      <c r="AK280" s="18" t="s">
        <v>1281</v>
      </c>
      <c r="AL280" s="19" t="s">
        <v>41</v>
      </c>
    </row>
    <row r="281" spans="1:38">
      <c r="A281" s="17" t="s">
        <v>756</v>
      </c>
      <c r="B281" s="18" t="s">
        <v>38</v>
      </c>
      <c r="C281" s="18">
        <v>2</v>
      </c>
      <c r="D281" s="18" t="s">
        <v>81</v>
      </c>
      <c r="E281" s="18" t="s">
        <v>82</v>
      </c>
      <c r="F281" s="18" t="s">
        <v>41</v>
      </c>
      <c r="G281" s="18" t="s">
        <v>83</v>
      </c>
      <c r="H281" s="18">
        <v>57</v>
      </c>
      <c r="I281" s="18">
        <v>1600</v>
      </c>
      <c r="J281" s="18">
        <v>27000</v>
      </c>
      <c r="K281" s="18">
        <v>33300</v>
      </c>
      <c r="L281" s="18">
        <v>0</v>
      </c>
      <c r="M281" s="18">
        <v>1250</v>
      </c>
      <c r="N281" s="18">
        <v>0</v>
      </c>
      <c r="O281" s="18">
        <v>0</v>
      </c>
      <c r="P281" s="18">
        <v>3600</v>
      </c>
      <c r="Q281" s="18">
        <f>#REF!/#REF!</f>
        <v>2.25</v>
      </c>
      <c r="R281" s="18"/>
      <c r="S281" s="18">
        <v>1</v>
      </c>
      <c r="T281" s="18"/>
      <c r="U281" s="18"/>
      <c r="V281" s="18"/>
      <c r="W281" s="18"/>
      <c r="X281" s="18"/>
      <c r="Y281" s="18">
        <v>1</v>
      </c>
      <c r="Z281" s="18">
        <v>0</v>
      </c>
      <c r="AA281" s="18">
        <v>0</v>
      </c>
      <c r="AB281" s="18"/>
      <c r="AC281" s="18"/>
      <c r="AD281" s="18"/>
      <c r="AE281" s="18">
        <v>273</v>
      </c>
      <c r="AF281" s="18">
        <v>410</v>
      </c>
      <c r="AG281" s="18" t="s">
        <v>41</v>
      </c>
      <c r="AH281" s="18" t="s">
        <v>41</v>
      </c>
      <c r="AI281" s="18" t="s">
        <v>41</v>
      </c>
      <c r="AJ281" s="18">
        <v>1</v>
      </c>
      <c r="AK281" s="18" t="s">
        <v>1457</v>
      </c>
      <c r="AL281" s="19" t="s">
        <v>41</v>
      </c>
    </row>
    <row r="282" spans="1:38">
      <c r="A282" s="17" t="s">
        <v>922</v>
      </c>
      <c r="B282" s="18" t="s">
        <v>806</v>
      </c>
      <c r="C282" s="18">
        <v>2</v>
      </c>
      <c r="D282" s="18" t="s">
        <v>923</v>
      </c>
      <c r="E282" s="18" t="s">
        <v>344</v>
      </c>
      <c r="F282" s="18" t="s">
        <v>41</v>
      </c>
      <c r="G282" s="18" t="s">
        <v>345</v>
      </c>
      <c r="H282" s="18">
        <v>9</v>
      </c>
      <c r="I282" s="18">
        <v>890</v>
      </c>
      <c r="J282" s="18">
        <v>25000</v>
      </c>
      <c r="K282" s="18">
        <v>23100</v>
      </c>
      <c r="L282" s="18">
        <v>0</v>
      </c>
      <c r="M282" s="18">
        <v>0</v>
      </c>
      <c r="N282" s="18">
        <v>0</v>
      </c>
      <c r="O282" s="18">
        <v>0</v>
      </c>
      <c r="P282" s="18">
        <v>2000</v>
      </c>
      <c r="Q282" s="18">
        <f>#REF!/#REF!</f>
        <v>2.2471910112359552</v>
      </c>
      <c r="R282" s="18"/>
      <c r="S282" s="18"/>
      <c r="T282" s="18"/>
      <c r="U282" s="18"/>
      <c r="V282" s="18"/>
      <c r="W282" s="18"/>
      <c r="X282" s="18"/>
      <c r="Y282" s="18">
        <v>1</v>
      </c>
      <c r="Z282" s="18">
        <v>469</v>
      </c>
      <c r="AA282" s="18">
        <v>775</v>
      </c>
      <c r="AB282" s="18"/>
      <c r="AC282" s="18"/>
      <c r="AD282" s="18"/>
      <c r="AE282" s="18">
        <v>550</v>
      </c>
      <c r="AF282" s="18">
        <v>1000</v>
      </c>
      <c r="AG282" s="18" t="s">
        <v>41</v>
      </c>
      <c r="AH282" s="18" t="s">
        <v>124</v>
      </c>
      <c r="AI282" s="18" t="s">
        <v>41</v>
      </c>
      <c r="AJ282" s="18">
        <v>1</v>
      </c>
      <c r="AK282" s="18" t="s">
        <v>1524</v>
      </c>
      <c r="AL282" s="19" t="s">
        <v>41</v>
      </c>
    </row>
    <row r="283" spans="1:38">
      <c r="A283" s="17" t="s">
        <v>707</v>
      </c>
      <c r="B283" s="18" t="s">
        <v>38</v>
      </c>
      <c r="C283" s="18">
        <v>2</v>
      </c>
      <c r="D283" s="18" t="s">
        <v>708</v>
      </c>
      <c r="E283" s="18" t="s">
        <v>709</v>
      </c>
      <c r="F283" s="18" t="s">
        <v>41</v>
      </c>
      <c r="G283" s="18" t="s">
        <v>710</v>
      </c>
      <c r="H283" s="18">
        <v>33</v>
      </c>
      <c r="I283" s="18">
        <v>135</v>
      </c>
      <c r="J283" s="18">
        <v>8800</v>
      </c>
      <c r="K283" s="18">
        <v>17600</v>
      </c>
      <c r="L283" s="18">
        <v>0</v>
      </c>
      <c r="M283" s="18">
        <v>0</v>
      </c>
      <c r="N283" s="18">
        <v>50</v>
      </c>
      <c r="O283" s="18">
        <v>65</v>
      </c>
      <c r="P283" s="18">
        <v>300</v>
      </c>
      <c r="Q283" s="18">
        <f>#REF!/#REF!</f>
        <v>2.2222222222222223</v>
      </c>
      <c r="R283" s="18"/>
      <c r="S283" s="18"/>
      <c r="T283" s="18"/>
      <c r="U283" s="18"/>
      <c r="V283" s="18"/>
      <c r="W283" s="18"/>
      <c r="X283" s="18"/>
      <c r="Y283" s="18"/>
      <c r="Z283" s="18">
        <v>0</v>
      </c>
      <c r="AA283" s="18">
        <v>0</v>
      </c>
      <c r="AB283" s="18"/>
      <c r="AC283" s="18"/>
      <c r="AD283" s="18"/>
      <c r="AE283" s="18">
        <v>550</v>
      </c>
      <c r="AF283" s="18">
        <v>825</v>
      </c>
      <c r="AG283" s="18" t="s">
        <v>377</v>
      </c>
      <c r="AH283" s="18" t="s">
        <v>41</v>
      </c>
      <c r="AI283" s="18" t="s">
        <v>41</v>
      </c>
      <c r="AJ283" s="18">
        <v>1</v>
      </c>
      <c r="AK283" s="18" t="s">
        <v>1444</v>
      </c>
      <c r="AL283" s="19" t="s">
        <v>41</v>
      </c>
    </row>
    <row r="284" spans="1:38">
      <c r="A284" s="17" t="s">
        <v>115</v>
      </c>
      <c r="B284" s="18" t="s">
        <v>38</v>
      </c>
      <c r="C284" s="18">
        <v>1</v>
      </c>
      <c r="D284" s="18" t="s">
        <v>116</v>
      </c>
      <c r="E284" s="18" t="s">
        <v>117</v>
      </c>
      <c r="F284" s="18" t="s">
        <v>41</v>
      </c>
      <c r="G284" s="18" t="s">
        <v>118</v>
      </c>
      <c r="H284" s="18">
        <v>64</v>
      </c>
      <c r="I284" s="18">
        <v>1200</v>
      </c>
      <c r="J284" s="18">
        <v>5500</v>
      </c>
      <c r="K284" s="18">
        <v>11100</v>
      </c>
      <c r="L284" s="18">
        <v>0</v>
      </c>
      <c r="M284" s="18">
        <v>0</v>
      </c>
      <c r="N284" s="18">
        <v>150</v>
      </c>
      <c r="O284" s="18">
        <v>0</v>
      </c>
      <c r="P284" s="18">
        <v>2650</v>
      </c>
      <c r="Q284" s="18">
        <f>#REF!/#REF!</f>
        <v>2.2083333333333335</v>
      </c>
      <c r="R284" s="18"/>
      <c r="S284" s="18">
        <v>1</v>
      </c>
      <c r="T284" s="18"/>
      <c r="U284" s="18"/>
      <c r="V284" s="18"/>
      <c r="W284" s="18"/>
      <c r="X284" s="18"/>
      <c r="Y284" s="18">
        <v>1</v>
      </c>
      <c r="Z284" s="18">
        <v>0</v>
      </c>
      <c r="AA284" s="18">
        <v>0</v>
      </c>
      <c r="AB284" s="18"/>
      <c r="AC284" s="18"/>
      <c r="AD284" s="18"/>
      <c r="AE284" s="18">
        <v>234</v>
      </c>
      <c r="AF284" s="18">
        <v>351</v>
      </c>
      <c r="AG284" s="18" t="s">
        <v>41</v>
      </c>
      <c r="AH284" s="18" t="s">
        <v>41</v>
      </c>
      <c r="AI284" s="18" t="s">
        <v>119</v>
      </c>
      <c r="AJ284" s="18">
        <v>1</v>
      </c>
      <c r="AK284" s="18" t="s">
        <v>1288</v>
      </c>
      <c r="AL284" s="19" t="s">
        <v>41</v>
      </c>
    </row>
    <row r="285" spans="1:38">
      <c r="A285" s="17" t="s">
        <v>1136</v>
      </c>
      <c r="B285" s="18" t="s">
        <v>806</v>
      </c>
      <c r="C285" s="18">
        <v>2</v>
      </c>
      <c r="D285" s="18" t="s">
        <v>1137</v>
      </c>
      <c r="E285" s="18" t="s">
        <v>725</v>
      </c>
      <c r="F285" s="18" t="s">
        <v>41</v>
      </c>
      <c r="G285" s="18" t="s">
        <v>726</v>
      </c>
      <c r="H285" s="18">
        <v>17</v>
      </c>
      <c r="I285" s="18">
        <v>730</v>
      </c>
      <c r="J285" s="18">
        <v>14000</v>
      </c>
      <c r="K285" s="18">
        <v>18000</v>
      </c>
      <c r="L285" s="18">
        <v>0</v>
      </c>
      <c r="M285" s="18">
        <v>0</v>
      </c>
      <c r="N285" s="18">
        <v>0</v>
      </c>
      <c r="O285" s="18">
        <v>84</v>
      </c>
      <c r="P285" s="18">
        <v>1610</v>
      </c>
      <c r="Q285" s="18">
        <f>#REF!/#REF!</f>
        <v>2.2054794520547945</v>
      </c>
      <c r="R285" s="18"/>
      <c r="S285" s="18">
        <v>1</v>
      </c>
      <c r="T285" s="18"/>
      <c r="U285" s="18"/>
      <c r="V285" s="18"/>
      <c r="W285" s="18"/>
      <c r="X285" s="18"/>
      <c r="Y285" s="18"/>
      <c r="Z285" s="18">
        <v>159</v>
      </c>
      <c r="AA285" s="18">
        <v>400</v>
      </c>
      <c r="AB285" s="18"/>
      <c r="AC285" s="18">
        <v>525</v>
      </c>
      <c r="AD285" s="18"/>
      <c r="AE285" s="18">
        <v>390</v>
      </c>
      <c r="AF285" s="18">
        <v>585</v>
      </c>
      <c r="AG285" s="18" t="s">
        <v>41</v>
      </c>
      <c r="AH285" s="18" t="s">
        <v>168</v>
      </c>
      <c r="AI285" s="18" t="s">
        <v>41</v>
      </c>
      <c r="AJ285" s="18">
        <v>1</v>
      </c>
      <c r="AK285" s="18" t="s">
        <v>1628</v>
      </c>
      <c r="AL285" s="19" t="s">
        <v>41</v>
      </c>
    </row>
    <row r="286" spans="1:38">
      <c r="A286" s="17" t="s">
        <v>695</v>
      </c>
      <c r="B286" s="18" t="s">
        <v>38</v>
      </c>
      <c r="C286" s="18">
        <v>1</v>
      </c>
      <c r="D286" s="18" t="s">
        <v>696</v>
      </c>
      <c r="E286" s="18" t="s">
        <v>697</v>
      </c>
      <c r="F286" s="18" t="s">
        <v>41</v>
      </c>
      <c r="G286" s="18" t="s">
        <v>698</v>
      </c>
      <c r="H286" s="18">
        <v>43</v>
      </c>
      <c r="I286" s="18">
        <v>155</v>
      </c>
      <c r="J286" s="18">
        <v>0</v>
      </c>
      <c r="K286" s="18">
        <v>2800</v>
      </c>
      <c r="L286" s="18">
        <v>0</v>
      </c>
      <c r="M286" s="18">
        <v>0</v>
      </c>
      <c r="N286" s="18">
        <v>0</v>
      </c>
      <c r="O286" s="18">
        <v>0</v>
      </c>
      <c r="P286" s="18">
        <v>340</v>
      </c>
      <c r="Q286" s="18">
        <f>#REF!/#REF!</f>
        <v>2.193548387096774</v>
      </c>
      <c r="R286" s="18"/>
      <c r="S286" s="18"/>
      <c r="T286" s="18"/>
      <c r="U286" s="18"/>
      <c r="V286" s="18"/>
      <c r="W286" s="18"/>
      <c r="X286" s="18"/>
      <c r="Y286" s="18">
        <v>1</v>
      </c>
      <c r="Z286" s="18">
        <v>0</v>
      </c>
      <c r="AA286" s="18">
        <v>0</v>
      </c>
      <c r="AB286" s="18"/>
      <c r="AC286" s="18"/>
      <c r="AD286" s="18"/>
      <c r="AE286" s="18">
        <v>273</v>
      </c>
      <c r="AF286" s="18">
        <v>410</v>
      </c>
      <c r="AG286" s="18" t="s">
        <v>41</v>
      </c>
      <c r="AH286" s="18" t="s">
        <v>41</v>
      </c>
      <c r="AI286" s="18" t="s">
        <v>41</v>
      </c>
      <c r="AJ286" s="18">
        <v>1</v>
      </c>
      <c r="AK286" s="18" t="s">
        <v>1441</v>
      </c>
      <c r="AL286" s="19" t="s">
        <v>41</v>
      </c>
    </row>
    <row r="287" spans="1:38">
      <c r="A287" s="17" t="s">
        <v>805</v>
      </c>
      <c r="B287" s="18" t="s">
        <v>806</v>
      </c>
      <c r="C287" s="18">
        <v>2</v>
      </c>
      <c r="D287" s="18" t="s">
        <v>807</v>
      </c>
      <c r="E287" s="18" t="s">
        <v>808</v>
      </c>
      <c r="F287" s="18" t="s">
        <v>41</v>
      </c>
      <c r="G287" s="18" t="s">
        <v>42</v>
      </c>
      <c r="H287" s="18">
        <v>31</v>
      </c>
      <c r="I287" s="18">
        <v>650</v>
      </c>
      <c r="J287" s="18">
        <v>6200</v>
      </c>
      <c r="K287" s="18">
        <v>7600</v>
      </c>
      <c r="L287" s="18">
        <v>0</v>
      </c>
      <c r="M287" s="18">
        <v>0</v>
      </c>
      <c r="N287" s="18">
        <v>0</v>
      </c>
      <c r="O287" s="18">
        <v>35</v>
      </c>
      <c r="P287" s="18">
        <v>1420</v>
      </c>
      <c r="Q287" s="18">
        <f>#REF!/#REF!</f>
        <v>2.1846153846153844</v>
      </c>
      <c r="R287" s="18">
        <v>1</v>
      </c>
      <c r="S287" s="18"/>
      <c r="T287" s="18"/>
      <c r="U287" s="18"/>
      <c r="V287" s="18"/>
      <c r="W287" s="18"/>
      <c r="X287" s="18"/>
      <c r="Y287" s="18"/>
      <c r="Z287" s="18">
        <v>249</v>
      </c>
      <c r="AA287" s="18">
        <v>850</v>
      </c>
      <c r="AB287" s="18"/>
      <c r="AC287" s="18"/>
      <c r="AD287" s="18"/>
      <c r="AE287" s="18">
        <v>390</v>
      </c>
      <c r="AF287" s="18">
        <v>925</v>
      </c>
      <c r="AG287" s="18" t="s">
        <v>41</v>
      </c>
      <c r="AH287" s="18" t="s">
        <v>809</v>
      </c>
      <c r="AI287" s="18" t="s">
        <v>41</v>
      </c>
      <c r="AJ287" s="18">
        <v>1</v>
      </c>
      <c r="AK287" s="18" t="s">
        <v>1473</v>
      </c>
      <c r="AL287" s="19" t="s">
        <v>41</v>
      </c>
    </row>
    <row r="288" spans="1:38">
      <c r="A288" s="17" t="s">
        <v>37</v>
      </c>
      <c r="B288" s="18" t="s">
        <v>38</v>
      </c>
      <c r="C288" s="18">
        <v>2</v>
      </c>
      <c r="D288" s="18" t="s">
        <v>39</v>
      </c>
      <c r="E288" s="18" t="s">
        <v>40</v>
      </c>
      <c r="F288" s="18" t="s">
        <v>41</v>
      </c>
      <c r="G288" s="18" t="s">
        <v>42</v>
      </c>
      <c r="H288" s="18">
        <v>30</v>
      </c>
      <c r="I288" s="18">
        <v>520</v>
      </c>
      <c r="J288" s="18">
        <v>5600</v>
      </c>
      <c r="K288" s="18">
        <v>7000</v>
      </c>
      <c r="L288" s="18">
        <v>0</v>
      </c>
      <c r="M288" s="18">
        <v>0</v>
      </c>
      <c r="N288" s="18">
        <v>0</v>
      </c>
      <c r="O288" s="18">
        <v>47</v>
      </c>
      <c r="P288" s="18">
        <v>1130</v>
      </c>
      <c r="Q288" s="18">
        <f>#REF!/#REF!</f>
        <v>2.1730769230769229</v>
      </c>
      <c r="R288" s="18">
        <v>1</v>
      </c>
      <c r="S288" s="18"/>
      <c r="T288" s="18"/>
      <c r="U288" s="18"/>
      <c r="V288" s="18"/>
      <c r="W288" s="18"/>
      <c r="X288" s="18"/>
      <c r="Y288" s="18"/>
      <c r="Z288" s="18">
        <v>215</v>
      </c>
      <c r="AA288" s="18">
        <v>875</v>
      </c>
      <c r="AB288" s="18"/>
      <c r="AC288" s="18"/>
      <c r="AD288" s="18"/>
      <c r="AE288" s="18">
        <v>400</v>
      </c>
      <c r="AF288" s="18">
        <v>925</v>
      </c>
      <c r="AG288" s="18" t="s">
        <v>41</v>
      </c>
      <c r="AH288" s="18" t="s">
        <v>43</v>
      </c>
      <c r="AI288" s="18" t="s">
        <v>41</v>
      </c>
      <c r="AJ288" s="18">
        <v>1</v>
      </c>
      <c r="AK288" s="18" t="s">
        <v>1272</v>
      </c>
      <c r="AL288" s="19" t="s">
        <v>41</v>
      </c>
    </row>
    <row r="289" spans="1:38">
      <c r="A289" s="17" t="s">
        <v>956</v>
      </c>
      <c r="B289" s="18" t="s">
        <v>806</v>
      </c>
      <c r="C289" s="18">
        <v>2</v>
      </c>
      <c r="D289" s="18" t="s">
        <v>957</v>
      </c>
      <c r="E289" s="18" t="s">
        <v>364</v>
      </c>
      <c r="F289" s="18" t="s">
        <v>41</v>
      </c>
      <c r="G289" s="18" t="s">
        <v>345</v>
      </c>
      <c r="H289" s="18">
        <v>10</v>
      </c>
      <c r="I289" s="18">
        <v>850</v>
      </c>
      <c r="J289" s="18">
        <v>14000</v>
      </c>
      <c r="K289" s="18">
        <v>20100</v>
      </c>
      <c r="L289" s="18">
        <v>0</v>
      </c>
      <c r="M289" s="18">
        <v>0</v>
      </c>
      <c r="N289" s="18">
        <v>0</v>
      </c>
      <c r="O289" s="18">
        <v>0</v>
      </c>
      <c r="P289" s="18">
        <v>1840</v>
      </c>
      <c r="Q289" s="18">
        <f>#REF!/#REF!</f>
        <v>2.164705882352941</v>
      </c>
      <c r="R289" s="18"/>
      <c r="S289" s="18"/>
      <c r="T289" s="18"/>
      <c r="U289" s="18"/>
      <c r="V289" s="18"/>
      <c r="W289" s="18"/>
      <c r="X289" s="18"/>
      <c r="Y289" s="18">
        <v>1</v>
      </c>
      <c r="Z289" s="18">
        <v>469</v>
      </c>
      <c r="AA289" s="18">
        <v>775</v>
      </c>
      <c r="AB289" s="18"/>
      <c r="AC289" s="18"/>
      <c r="AD289" s="18"/>
      <c r="AE289" s="18">
        <v>525</v>
      </c>
      <c r="AF289" s="18">
        <v>1000</v>
      </c>
      <c r="AG289" s="18" t="s">
        <v>41</v>
      </c>
      <c r="AH289" s="18" t="s">
        <v>124</v>
      </c>
      <c r="AI289" s="18" t="s">
        <v>41</v>
      </c>
      <c r="AJ289" s="18">
        <v>1</v>
      </c>
      <c r="AK289" s="18" t="s">
        <v>1540</v>
      </c>
      <c r="AL289" s="19" t="s">
        <v>41</v>
      </c>
    </row>
    <row r="290" spans="1:38">
      <c r="A290" s="17" t="s">
        <v>60</v>
      </c>
      <c r="B290" s="18" t="s">
        <v>38</v>
      </c>
      <c r="C290" s="18">
        <v>2</v>
      </c>
      <c r="D290" s="18" t="s">
        <v>61</v>
      </c>
      <c r="E290" s="18" t="s">
        <v>57</v>
      </c>
      <c r="F290" s="18" t="s">
        <v>41</v>
      </c>
      <c r="G290" s="18" t="s">
        <v>62</v>
      </c>
      <c r="H290" s="18">
        <v>34</v>
      </c>
      <c r="I290" s="18">
        <v>430</v>
      </c>
      <c r="J290" s="18">
        <v>6900</v>
      </c>
      <c r="K290" s="18">
        <v>9500</v>
      </c>
      <c r="L290" s="18">
        <v>0</v>
      </c>
      <c r="M290" s="18">
        <v>14</v>
      </c>
      <c r="N290" s="18">
        <v>180</v>
      </c>
      <c r="O290" s="18">
        <v>33</v>
      </c>
      <c r="P290" s="18">
        <v>930</v>
      </c>
      <c r="Q290" s="18">
        <f>#REF!/#REF!</f>
        <v>2.1627906976744184</v>
      </c>
      <c r="R290" s="18"/>
      <c r="S290" s="18"/>
      <c r="T290" s="18"/>
      <c r="U290" s="18"/>
      <c r="V290" s="18"/>
      <c r="W290" s="18"/>
      <c r="X290" s="18"/>
      <c r="Y290" s="18"/>
      <c r="Z290" s="18">
        <v>0</v>
      </c>
      <c r="AA290" s="18">
        <v>0</v>
      </c>
      <c r="AB290" s="18"/>
      <c r="AC290" s="18"/>
      <c r="AD290" s="18">
        <v>50</v>
      </c>
      <c r="AE290" s="18">
        <v>324</v>
      </c>
      <c r="AF290" s="18">
        <v>486</v>
      </c>
      <c r="AG290" s="18" t="s">
        <v>41</v>
      </c>
      <c r="AH290" s="18" t="s">
        <v>41</v>
      </c>
      <c r="AI290" s="18" t="s">
        <v>63</v>
      </c>
      <c r="AJ290" s="18">
        <v>1</v>
      </c>
      <c r="AK290" s="18" t="s">
        <v>1276</v>
      </c>
      <c r="AL290" s="19" t="s">
        <v>41</v>
      </c>
    </row>
    <row r="291" spans="1:38">
      <c r="A291" s="17" t="s">
        <v>1208</v>
      </c>
      <c r="B291" s="18" t="s">
        <v>806</v>
      </c>
      <c r="C291" s="18">
        <v>2</v>
      </c>
      <c r="D291" s="18" t="s">
        <v>1209</v>
      </c>
      <c r="E291" s="18" t="s">
        <v>422</v>
      </c>
      <c r="F291" s="18" t="s">
        <v>41</v>
      </c>
      <c r="G291" s="18" t="s">
        <v>423</v>
      </c>
      <c r="H291" s="18">
        <v>7</v>
      </c>
      <c r="I291" s="18">
        <v>135</v>
      </c>
      <c r="J291" s="18">
        <v>4750</v>
      </c>
      <c r="K291" s="18">
        <v>8400</v>
      </c>
      <c r="L291" s="18">
        <v>0</v>
      </c>
      <c r="M291" s="18">
        <v>0</v>
      </c>
      <c r="N291" s="18">
        <v>0</v>
      </c>
      <c r="O291" s="18">
        <v>380</v>
      </c>
      <c r="P291" s="18">
        <v>290</v>
      </c>
      <c r="Q291" s="18">
        <f>#REF!/#REF!</f>
        <v>2.1481481481481484</v>
      </c>
      <c r="R291" s="18"/>
      <c r="S291" s="18"/>
      <c r="T291" s="18">
        <v>1</v>
      </c>
      <c r="U291" s="18"/>
      <c r="V291" s="18"/>
      <c r="W291" s="18"/>
      <c r="X291" s="18"/>
      <c r="Y291" s="18"/>
      <c r="Z291" s="18">
        <v>500</v>
      </c>
      <c r="AA291" s="18">
        <v>740</v>
      </c>
      <c r="AB291" s="18"/>
      <c r="AC291" s="18"/>
      <c r="AD291" s="18"/>
      <c r="AE291" s="18">
        <v>250</v>
      </c>
      <c r="AF291" s="18">
        <v>1100</v>
      </c>
      <c r="AG291" s="18" t="s">
        <v>424</v>
      </c>
      <c r="AH291" s="18" t="s">
        <v>88</v>
      </c>
      <c r="AI291" s="18" t="s">
        <v>41</v>
      </c>
      <c r="AJ291" s="18">
        <v>1</v>
      </c>
      <c r="AK291" s="18" t="s">
        <v>1664</v>
      </c>
      <c r="AL291" s="19" t="s">
        <v>41</v>
      </c>
    </row>
    <row r="292" spans="1:38">
      <c r="A292" s="17" t="s">
        <v>1210</v>
      </c>
      <c r="B292" s="18" t="s">
        <v>806</v>
      </c>
      <c r="C292" s="18">
        <v>1</v>
      </c>
      <c r="D292" s="18" t="s">
        <v>1211</v>
      </c>
      <c r="E292" s="18" t="s">
        <v>361</v>
      </c>
      <c r="F292" s="18" t="s">
        <v>41</v>
      </c>
      <c r="G292" s="18" t="s">
        <v>18</v>
      </c>
      <c r="H292" s="18">
        <v>14</v>
      </c>
      <c r="I292" s="18">
        <v>73</v>
      </c>
      <c r="J292" s="18">
        <v>2800</v>
      </c>
      <c r="K292" s="18">
        <v>3330</v>
      </c>
      <c r="L292" s="18">
        <v>0</v>
      </c>
      <c r="M292" s="18">
        <v>0</v>
      </c>
      <c r="N292" s="18">
        <v>0</v>
      </c>
      <c r="O292" s="18">
        <v>298</v>
      </c>
      <c r="P292" s="18">
        <v>156</v>
      </c>
      <c r="Q292" s="18">
        <f>#REF!/#REF!</f>
        <v>2.1369863013698631</v>
      </c>
      <c r="R292" s="18"/>
      <c r="S292" s="18"/>
      <c r="T292" s="18">
        <v>1</v>
      </c>
      <c r="U292" s="18"/>
      <c r="V292" s="18"/>
      <c r="W292" s="18"/>
      <c r="X292" s="18"/>
      <c r="Y292" s="18"/>
      <c r="Z292" s="18">
        <v>139</v>
      </c>
      <c r="AA292" s="18">
        <v>680</v>
      </c>
      <c r="AB292" s="18"/>
      <c r="AC292" s="18"/>
      <c r="AD292" s="18"/>
      <c r="AE292" s="18">
        <v>210</v>
      </c>
      <c r="AF292" s="18">
        <v>950</v>
      </c>
      <c r="AG292" s="18" t="s">
        <v>41</v>
      </c>
      <c r="AH292" s="18" t="s">
        <v>88</v>
      </c>
      <c r="AI292" s="18" t="s">
        <v>41</v>
      </c>
      <c r="AJ292" s="18">
        <v>1</v>
      </c>
      <c r="AK292" s="18" t="s">
        <v>1665</v>
      </c>
      <c r="AL292" s="19" t="s">
        <v>41</v>
      </c>
    </row>
    <row r="293" spans="1:38">
      <c r="A293" s="17" t="s">
        <v>362</v>
      </c>
      <c r="B293" s="18" t="s">
        <v>38</v>
      </c>
      <c r="C293" s="18">
        <v>2</v>
      </c>
      <c r="D293" s="18" t="s">
        <v>363</v>
      </c>
      <c r="E293" s="18" t="s">
        <v>364</v>
      </c>
      <c r="F293" s="18" t="s">
        <v>41</v>
      </c>
      <c r="G293" s="18" t="s">
        <v>345</v>
      </c>
      <c r="H293" s="18">
        <v>54</v>
      </c>
      <c r="I293" s="18">
        <v>820</v>
      </c>
      <c r="J293" s="18">
        <v>13000</v>
      </c>
      <c r="K293" s="18">
        <v>19000</v>
      </c>
      <c r="L293" s="18">
        <v>0</v>
      </c>
      <c r="M293" s="18">
        <v>0</v>
      </c>
      <c r="N293" s="18">
        <v>0</v>
      </c>
      <c r="O293" s="18">
        <v>0</v>
      </c>
      <c r="P293" s="18">
        <v>1750</v>
      </c>
      <c r="Q293" s="18">
        <f>#REF!/#REF!</f>
        <v>2.1341463414634148</v>
      </c>
      <c r="R293" s="18"/>
      <c r="S293" s="18"/>
      <c r="T293" s="18"/>
      <c r="U293" s="18"/>
      <c r="V293" s="18"/>
      <c r="W293" s="18"/>
      <c r="X293" s="18"/>
      <c r="Y293" s="18">
        <v>1</v>
      </c>
      <c r="Z293" s="18">
        <v>469</v>
      </c>
      <c r="AA293" s="18">
        <v>775</v>
      </c>
      <c r="AB293" s="18"/>
      <c r="AC293" s="18"/>
      <c r="AD293" s="18"/>
      <c r="AE293" s="18">
        <v>525</v>
      </c>
      <c r="AF293" s="18">
        <v>1000</v>
      </c>
      <c r="AG293" s="18" t="s">
        <v>41</v>
      </c>
      <c r="AH293" s="18" t="s">
        <v>124</v>
      </c>
      <c r="AI293" s="18" t="s">
        <v>41</v>
      </c>
      <c r="AJ293" s="18">
        <v>1</v>
      </c>
      <c r="AK293" s="18" t="s">
        <v>1350</v>
      </c>
      <c r="AL293" s="19" t="s">
        <v>41</v>
      </c>
    </row>
    <row r="294" spans="1:38">
      <c r="A294" s="17" t="s">
        <v>974</v>
      </c>
      <c r="B294" s="18" t="s">
        <v>806</v>
      </c>
      <c r="C294" s="18">
        <v>3</v>
      </c>
      <c r="D294" s="18" t="s">
        <v>674</v>
      </c>
      <c r="E294" s="18" t="s">
        <v>679</v>
      </c>
      <c r="F294" s="18" t="s">
        <v>41</v>
      </c>
      <c r="G294" s="18" t="s">
        <v>680</v>
      </c>
      <c r="H294" s="18">
        <v>160</v>
      </c>
      <c r="I294" s="18">
        <v>8350</v>
      </c>
      <c r="J294" s="18">
        <v>62500</v>
      </c>
      <c r="K294" s="18">
        <v>67300</v>
      </c>
      <c r="L294" s="18">
        <v>0</v>
      </c>
      <c r="M294" s="18">
        <v>0</v>
      </c>
      <c r="N294" s="18">
        <v>600</v>
      </c>
      <c r="O294" s="18">
        <v>0</v>
      </c>
      <c r="P294" s="18">
        <v>17800</v>
      </c>
      <c r="Q294" s="18">
        <f>#REF!/#REF!</f>
        <v>2.1317365269461077</v>
      </c>
      <c r="R294" s="18"/>
      <c r="S294" s="18">
        <v>1</v>
      </c>
      <c r="T294" s="18"/>
      <c r="U294" s="18"/>
      <c r="V294" s="18"/>
      <c r="W294" s="18"/>
      <c r="X294" s="18"/>
      <c r="Y294" s="18">
        <v>1</v>
      </c>
      <c r="Z294" s="18">
        <v>0</v>
      </c>
      <c r="AA294" s="18">
        <v>0</v>
      </c>
      <c r="AB294" s="18"/>
      <c r="AC294" s="18"/>
      <c r="AD294" s="18"/>
      <c r="AE294" s="18">
        <v>273</v>
      </c>
      <c r="AF294" s="18">
        <v>410</v>
      </c>
      <c r="AG294" s="18" t="s">
        <v>41</v>
      </c>
      <c r="AH294" s="18" t="s">
        <v>41</v>
      </c>
      <c r="AI294" s="18" t="s">
        <v>975</v>
      </c>
      <c r="AJ294" s="18">
        <v>1</v>
      </c>
      <c r="AK294" s="18" t="s">
        <v>1551</v>
      </c>
      <c r="AL294" s="19" t="s">
        <v>41</v>
      </c>
    </row>
    <row r="295" spans="1:38">
      <c r="A295" s="17" t="s">
        <v>814</v>
      </c>
      <c r="B295" s="18" t="s">
        <v>806</v>
      </c>
      <c r="C295" s="18">
        <v>2</v>
      </c>
      <c r="D295" s="18" t="s">
        <v>61</v>
      </c>
      <c r="E295" s="18" t="s">
        <v>57</v>
      </c>
      <c r="F295" s="18" t="s">
        <v>41</v>
      </c>
      <c r="G295" s="18" t="s">
        <v>62</v>
      </c>
      <c r="H295" s="18">
        <v>39</v>
      </c>
      <c r="I295" s="18">
        <v>470</v>
      </c>
      <c r="J295" s="18">
        <v>6900</v>
      </c>
      <c r="K295" s="18">
        <v>9700</v>
      </c>
      <c r="L295" s="18">
        <v>0</v>
      </c>
      <c r="M295" s="18">
        <v>14</v>
      </c>
      <c r="N295" s="18">
        <v>180</v>
      </c>
      <c r="O295" s="18">
        <v>33</v>
      </c>
      <c r="P295" s="18">
        <v>1000</v>
      </c>
      <c r="Q295" s="18">
        <f>#REF!/#REF!</f>
        <v>2.1276595744680851</v>
      </c>
      <c r="R295" s="18"/>
      <c r="S295" s="18"/>
      <c r="T295" s="18"/>
      <c r="U295" s="18"/>
      <c r="V295" s="18"/>
      <c r="W295" s="18"/>
      <c r="X295" s="18"/>
      <c r="Y295" s="18"/>
      <c r="Z295" s="18">
        <v>0</v>
      </c>
      <c r="AA295" s="18">
        <v>0</v>
      </c>
      <c r="AB295" s="18"/>
      <c r="AC295" s="18"/>
      <c r="AD295" s="18">
        <v>50</v>
      </c>
      <c r="AE295" s="18">
        <v>319</v>
      </c>
      <c r="AF295" s="18">
        <v>478</v>
      </c>
      <c r="AG295" s="18" t="s">
        <v>41</v>
      </c>
      <c r="AH295" s="18" t="s">
        <v>41</v>
      </c>
      <c r="AI295" s="18" t="s">
        <v>1476</v>
      </c>
      <c r="AJ295" s="18">
        <v>1</v>
      </c>
      <c r="AK295" s="18" t="s">
        <v>1477</v>
      </c>
      <c r="AL295" s="19" t="s">
        <v>41</v>
      </c>
    </row>
    <row r="296" spans="1:38">
      <c r="A296" s="17" t="s">
        <v>972</v>
      </c>
      <c r="B296" s="18" t="s">
        <v>806</v>
      </c>
      <c r="C296" s="18">
        <v>3</v>
      </c>
      <c r="D296" s="18" t="s">
        <v>674</v>
      </c>
      <c r="E296" s="18" t="s">
        <v>675</v>
      </c>
      <c r="F296" s="18" t="s">
        <v>41</v>
      </c>
      <c r="G296" s="18" t="s">
        <v>676</v>
      </c>
      <c r="H296" s="18">
        <v>160</v>
      </c>
      <c r="I296" s="18">
        <v>8400</v>
      </c>
      <c r="J296" s="18">
        <v>62000</v>
      </c>
      <c r="K296" s="18">
        <v>67300</v>
      </c>
      <c r="L296" s="18">
        <v>0</v>
      </c>
      <c r="M296" s="18">
        <v>0</v>
      </c>
      <c r="N296" s="18">
        <v>600</v>
      </c>
      <c r="O296" s="18">
        <v>0</v>
      </c>
      <c r="P296" s="18">
        <v>17800</v>
      </c>
      <c r="Q296" s="18">
        <f>#REF!/#REF!</f>
        <v>2.1190476190476191</v>
      </c>
      <c r="R296" s="18"/>
      <c r="S296" s="18"/>
      <c r="T296" s="18"/>
      <c r="U296" s="18"/>
      <c r="V296" s="18"/>
      <c r="W296" s="18"/>
      <c r="X296" s="18"/>
      <c r="Y296" s="18">
        <v>1</v>
      </c>
      <c r="Z296" s="18">
        <v>0</v>
      </c>
      <c r="AA296" s="18">
        <v>0</v>
      </c>
      <c r="AB296" s="18"/>
      <c r="AC296" s="18"/>
      <c r="AD296" s="18"/>
      <c r="AE296" s="18">
        <v>273</v>
      </c>
      <c r="AF296" s="18">
        <v>410</v>
      </c>
      <c r="AG296" s="18" t="s">
        <v>41</v>
      </c>
      <c r="AH296" s="18" t="s">
        <v>41</v>
      </c>
      <c r="AI296" s="18" t="s">
        <v>973</v>
      </c>
      <c r="AJ296" s="18">
        <v>1</v>
      </c>
      <c r="AK296" s="18" t="s">
        <v>1550</v>
      </c>
      <c r="AL296" s="19" t="s">
        <v>41</v>
      </c>
    </row>
    <row r="297" spans="1:38">
      <c r="A297" s="17" t="s">
        <v>1103</v>
      </c>
      <c r="B297" s="18" t="s">
        <v>806</v>
      </c>
      <c r="C297" s="18">
        <v>1</v>
      </c>
      <c r="D297" s="18" t="s">
        <v>1104</v>
      </c>
      <c r="E297" s="18" t="s">
        <v>609</v>
      </c>
      <c r="F297" s="18" t="s">
        <v>41</v>
      </c>
      <c r="G297" s="18" t="s">
        <v>610</v>
      </c>
      <c r="H297" s="18">
        <v>22</v>
      </c>
      <c r="I297" s="18">
        <v>200</v>
      </c>
      <c r="J297" s="18">
        <v>3200</v>
      </c>
      <c r="K297" s="18">
        <v>5960</v>
      </c>
      <c r="L297" s="18">
        <v>0</v>
      </c>
      <c r="M297" s="18">
        <v>0</v>
      </c>
      <c r="N297" s="18">
        <v>150</v>
      </c>
      <c r="O297" s="18">
        <v>67</v>
      </c>
      <c r="P297" s="18">
        <v>420</v>
      </c>
      <c r="Q297" s="18">
        <f>#REF!/#REF!</f>
        <v>2.1</v>
      </c>
      <c r="R297" s="18"/>
      <c r="S297" s="18">
        <v>1</v>
      </c>
      <c r="T297" s="18"/>
      <c r="U297" s="18"/>
      <c r="V297" s="18"/>
      <c r="W297" s="18"/>
      <c r="X297" s="18"/>
      <c r="Y297" s="18"/>
      <c r="Z297" s="18">
        <v>0</v>
      </c>
      <c r="AA297" s="18">
        <v>0</v>
      </c>
      <c r="AB297" s="18"/>
      <c r="AC297" s="18">
        <v>150</v>
      </c>
      <c r="AD297" s="18"/>
      <c r="AE297" s="18">
        <v>300</v>
      </c>
      <c r="AF297" s="18">
        <v>450</v>
      </c>
      <c r="AG297" s="18" t="s">
        <v>611</v>
      </c>
      <c r="AH297" s="18" t="s">
        <v>41</v>
      </c>
      <c r="AI297" s="18" t="s">
        <v>41</v>
      </c>
      <c r="AJ297" s="18">
        <v>1</v>
      </c>
      <c r="AK297" s="18" t="s">
        <v>1613</v>
      </c>
      <c r="AL297" s="19" t="s">
        <v>41</v>
      </c>
    </row>
    <row r="298" spans="1:38">
      <c r="A298" s="17" t="s">
        <v>295</v>
      </c>
      <c r="B298" s="18" t="s">
        <v>38</v>
      </c>
      <c r="C298" s="18">
        <v>2</v>
      </c>
      <c r="D298" s="18" t="s">
        <v>296</v>
      </c>
      <c r="E298" s="18" t="s">
        <v>297</v>
      </c>
      <c r="F298" s="18" t="s">
        <v>41</v>
      </c>
      <c r="G298" s="18" t="s">
        <v>298</v>
      </c>
      <c r="H298" s="18">
        <v>27</v>
      </c>
      <c r="I298" s="18">
        <v>1600</v>
      </c>
      <c r="J298" s="18">
        <v>29000</v>
      </c>
      <c r="K298" s="18">
        <v>79300</v>
      </c>
      <c r="L298" s="18">
        <v>0</v>
      </c>
      <c r="M298" s="18">
        <v>0</v>
      </c>
      <c r="N298" s="18">
        <v>0</v>
      </c>
      <c r="O298" s="18">
        <v>0</v>
      </c>
      <c r="P298" s="18">
        <v>3350</v>
      </c>
      <c r="Q298" s="18">
        <f>#REF!/#REF!</f>
        <v>2.09375</v>
      </c>
      <c r="R298" s="18"/>
      <c r="S298" s="18"/>
      <c r="T298" s="18"/>
      <c r="U298" s="18"/>
      <c r="V298" s="18"/>
      <c r="W298" s="18"/>
      <c r="X298" s="18"/>
      <c r="Y298" s="18">
        <v>1</v>
      </c>
      <c r="Z298" s="18">
        <v>0</v>
      </c>
      <c r="AA298" s="18">
        <v>3650</v>
      </c>
      <c r="AB298" s="18"/>
      <c r="AC298" s="18"/>
      <c r="AD298" s="18"/>
      <c r="AE298" s="18">
        <v>455</v>
      </c>
      <c r="AF298" s="18">
        <v>683</v>
      </c>
      <c r="AG298" s="18" t="s">
        <v>41</v>
      </c>
      <c r="AH298" s="18" t="s">
        <v>299</v>
      </c>
      <c r="AI298" s="18" t="s">
        <v>41</v>
      </c>
      <c r="AJ298" s="18">
        <v>1</v>
      </c>
      <c r="AK298" s="18" t="s">
        <v>1333</v>
      </c>
      <c r="AL298" s="19" t="s">
        <v>41</v>
      </c>
    </row>
    <row r="299" spans="1:38">
      <c r="A299" s="17" t="s">
        <v>1163</v>
      </c>
      <c r="B299" s="18" t="s">
        <v>806</v>
      </c>
      <c r="C299" s="18">
        <v>2</v>
      </c>
      <c r="D299" s="18" t="s">
        <v>1164</v>
      </c>
      <c r="E299" s="18" t="s">
        <v>663</v>
      </c>
      <c r="F299" s="18" t="s">
        <v>41</v>
      </c>
      <c r="G299" s="18" t="s">
        <v>664</v>
      </c>
      <c r="H299" s="18">
        <v>25</v>
      </c>
      <c r="I299" s="18">
        <v>1900</v>
      </c>
      <c r="J299" s="18">
        <v>29000</v>
      </c>
      <c r="K299" s="18">
        <v>24750</v>
      </c>
      <c r="L299" s="18">
        <v>0</v>
      </c>
      <c r="M299" s="18">
        <v>0</v>
      </c>
      <c r="N299" s="18">
        <v>0</v>
      </c>
      <c r="O299" s="18">
        <v>39</v>
      </c>
      <c r="P299" s="18">
        <v>3900</v>
      </c>
      <c r="Q299" s="18">
        <f>#REF!/#REF!</f>
        <v>2.0526315789473686</v>
      </c>
      <c r="R299" s="18"/>
      <c r="S299" s="18">
        <v>1</v>
      </c>
      <c r="T299" s="18"/>
      <c r="U299" s="18"/>
      <c r="V299" s="18"/>
      <c r="W299" s="18"/>
      <c r="X299" s="18"/>
      <c r="Y299" s="18"/>
      <c r="Z299" s="18">
        <v>206</v>
      </c>
      <c r="AA299" s="18">
        <v>850</v>
      </c>
      <c r="AB299" s="18"/>
      <c r="AC299" s="18">
        <v>400</v>
      </c>
      <c r="AD299" s="18"/>
      <c r="AE299" s="18">
        <v>570</v>
      </c>
      <c r="AF299" s="18">
        <v>855</v>
      </c>
      <c r="AG299" s="18" t="s">
        <v>424</v>
      </c>
      <c r="AH299" s="18" t="s">
        <v>168</v>
      </c>
      <c r="AI299" s="18" t="s">
        <v>41</v>
      </c>
      <c r="AJ299" s="18">
        <v>1</v>
      </c>
      <c r="AK299" s="18" t="s">
        <v>1640</v>
      </c>
      <c r="AL299" s="19" t="s">
        <v>41</v>
      </c>
    </row>
    <row r="300" spans="1:38">
      <c r="A300" s="17" t="s">
        <v>673</v>
      </c>
      <c r="B300" s="18" t="s">
        <v>38</v>
      </c>
      <c r="C300" s="18">
        <v>3</v>
      </c>
      <c r="D300" s="18" t="s">
        <v>674</v>
      </c>
      <c r="E300" s="18" t="s">
        <v>675</v>
      </c>
      <c r="F300" s="18" t="s">
        <v>41</v>
      </c>
      <c r="G300" s="18" t="s">
        <v>676</v>
      </c>
      <c r="H300" s="18">
        <v>108</v>
      </c>
      <c r="I300" s="18">
        <v>7900</v>
      </c>
      <c r="J300" s="18">
        <v>58000</v>
      </c>
      <c r="K300" s="18">
        <v>61400</v>
      </c>
      <c r="L300" s="18">
        <v>0</v>
      </c>
      <c r="M300" s="18">
        <v>0</v>
      </c>
      <c r="N300" s="18">
        <v>600</v>
      </c>
      <c r="O300" s="18">
        <v>0</v>
      </c>
      <c r="P300" s="18">
        <v>16000</v>
      </c>
      <c r="Q300" s="18">
        <f>#REF!/#REF!</f>
        <v>2.0253164556962027</v>
      </c>
      <c r="R300" s="18"/>
      <c r="S300" s="18"/>
      <c r="T300" s="18"/>
      <c r="U300" s="18"/>
      <c r="V300" s="18"/>
      <c r="W300" s="18"/>
      <c r="X300" s="18"/>
      <c r="Y300" s="18">
        <v>1</v>
      </c>
      <c r="Z300" s="18">
        <v>0</v>
      </c>
      <c r="AA300" s="18">
        <v>0</v>
      </c>
      <c r="AB300" s="18"/>
      <c r="AC300" s="18"/>
      <c r="AD300" s="18"/>
      <c r="AE300" s="18">
        <v>273</v>
      </c>
      <c r="AF300" s="18">
        <v>410</v>
      </c>
      <c r="AG300" s="18" t="s">
        <v>41</v>
      </c>
      <c r="AH300" s="18" t="s">
        <v>41</v>
      </c>
      <c r="AI300" s="18" t="s">
        <v>677</v>
      </c>
      <c r="AJ300" s="18">
        <v>1</v>
      </c>
      <c r="AK300" s="18" t="s">
        <v>1436</v>
      </c>
      <c r="AL300" s="19" t="s">
        <v>41</v>
      </c>
    </row>
    <row r="301" spans="1:38">
      <c r="A301" s="17" t="s">
        <v>678</v>
      </c>
      <c r="B301" s="18" t="s">
        <v>38</v>
      </c>
      <c r="C301" s="18">
        <v>3</v>
      </c>
      <c r="D301" s="18" t="s">
        <v>674</v>
      </c>
      <c r="E301" s="18" t="s">
        <v>679</v>
      </c>
      <c r="F301" s="18" t="s">
        <v>41</v>
      </c>
      <c r="G301" s="18" t="s">
        <v>680</v>
      </c>
      <c r="H301" s="18">
        <v>108</v>
      </c>
      <c r="I301" s="18">
        <v>7900</v>
      </c>
      <c r="J301" s="18">
        <v>58000</v>
      </c>
      <c r="K301" s="18">
        <v>61400</v>
      </c>
      <c r="L301" s="18">
        <v>0</v>
      </c>
      <c r="M301" s="18">
        <v>0</v>
      </c>
      <c r="N301" s="18">
        <v>600</v>
      </c>
      <c r="O301" s="18">
        <v>0</v>
      </c>
      <c r="P301" s="18">
        <v>16000</v>
      </c>
      <c r="Q301" s="18">
        <f>#REF!/#REF!</f>
        <v>2.0253164556962027</v>
      </c>
      <c r="R301" s="18"/>
      <c r="S301" s="18">
        <v>1</v>
      </c>
      <c r="T301" s="18"/>
      <c r="U301" s="18"/>
      <c r="V301" s="18"/>
      <c r="W301" s="18"/>
      <c r="X301" s="18"/>
      <c r="Y301" s="18">
        <v>1</v>
      </c>
      <c r="Z301" s="18">
        <v>0</v>
      </c>
      <c r="AA301" s="18">
        <v>0</v>
      </c>
      <c r="AB301" s="18"/>
      <c r="AC301" s="18"/>
      <c r="AD301" s="18"/>
      <c r="AE301" s="18">
        <v>273</v>
      </c>
      <c r="AF301" s="18">
        <v>410</v>
      </c>
      <c r="AG301" s="18" t="s">
        <v>41</v>
      </c>
      <c r="AH301" s="18" t="s">
        <v>41</v>
      </c>
      <c r="AI301" s="18" t="s">
        <v>681</v>
      </c>
      <c r="AJ301" s="18">
        <v>1</v>
      </c>
      <c r="AK301" s="18" t="s">
        <v>1437</v>
      </c>
      <c r="AL301" s="19" t="s">
        <v>41</v>
      </c>
    </row>
    <row r="302" spans="1:38">
      <c r="A302" s="17" t="s">
        <v>323</v>
      </c>
      <c r="B302" s="18" t="s">
        <v>38</v>
      </c>
      <c r="C302" s="18">
        <v>2</v>
      </c>
      <c r="D302" s="18" t="s">
        <v>324</v>
      </c>
      <c r="E302" s="18" t="s">
        <v>325</v>
      </c>
      <c r="F302" s="18" t="s">
        <v>41</v>
      </c>
      <c r="G302" s="18" t="s">
        <v>326</v>
      </c>
      <c r="H302" s="18">
        <v>70</v>
      </c>
      <c r="I302" s="18">
        <v>800</v>
      </c>
      <c r="J302" s="18">
        <v>7300</v>
      </c>
      <c r="K302" s="18">
        <v>9880</v>
      </c>
      <c r="L302" s="18">
        <v>0</v>
      </c>
      <c r="M302" s="18">
        <v>0</v>
      </c>
      <c r="N302" s="18">
        <v>0</v>
      </c>
      <c r="O302" s="18">
        <v>0</v>
      </c>
      <c r="P302" s="18">
        <v>1610</v>
      </c>
      <c r="Q302" s="18">
        <f>#REF!/#REF!</f>
        <v>2.0125000000000002</v>
      </c>
      <c r="R302" s="18"/>
      <c r="S302" s="18"/>
      <c r="T302" s="18"/>
      <c r="U302" s="18"/>
      <c r="V302" s="18"/>
      <c r="W302" s="18"/>
      <c r="X302" s="18"/>
      <c r="Y302" s="18">
        <v>1</v>
      </c>
      <c r="Z302" s="18">
        <v>0</v>
      </c>
      <c r="AA302" s="18">
        <v>0</v>
      </c>
      <c r="AB302" s="18"/>
      <c r="AC302" s="18"/>
      <c r="AD302" s="18"/>
      <c r="AE302" s="18">
        <v>273</v>
      </c>
      <c r="AF302" s="18">
        <v>410</v>
      </c>
      <c r="AG302" s="18" t="s">
        <v>41</v>
      </c>
      <c r="AH302" s="18" t="s">
        <v>41</v>
      </c>
      <c r="AI302" s="18" t="s">
        <v>41</v>
      </c>
      <c r="AJ302" s="18">
        <v>1</v>
      </c>
      <c r="AK302" s="18" t="s">
        <v>1340</v>
      </c>
      <c r="AL302" s="19" t="s">
        <v>41</v>
      </c>
    </row>
    <row r="303" spans="1:38">
      <c r="A303" s="17" t="s">
        <v>607</v>
      </c>
      <c r="B303" s="18" t="s">
        <v>38</v>
      </c>
      <c r="C303" s="18">
        <v>1</v>
      </c>
      <c r="D303" s="18" t="s">
        <v>608</v>
      </c>
      <c r="E303" s="18" t="s">
        <v>609</v>
      </c>
      <c r="F303" s="18" t="s">
        <v>41</v>
      </c>
      <c r="G303" s="18" t="s">
        <v>610</v>
      </c>
      <c r="H303" s="18">
        <v>14</v>
      </c>
      <c r="I303" s="18">
        <v>210</v>
      </c>
      <c r="J303" s="18">
        <v>3000</v>
      </c>
      <c r="K303" s="18">
        <v>6200</v>
      </c>
      <c r="L303" s="18">
        <v>0</v>
      </c>
      <c r="M303" s="18">
        <v>0</v>
      </c>
      <c r="N303" s="18">
        <v>150</v>
      </c>
      <c r="O303" s="18">
        <v>66</v>
      </c>
      <c r="P303" s="18">
        <v>420</v>
      </c>
      <c r="Q303" s="18">
        <f>#REF!/#REF!</f>
        <v>2</v>
      </c>
      <c r="R303" s="18"/>
      <c r="S303" s="18">
        <v>1</v>
      </c>
      <c r="T303" s="18"/>
      <c r="U303" s="18"/>
      <c r="V303" s="18"/>
      <c r="W303" s="18"/>
      <c r="X303" s="18"/>
      <c r="Y303" s="18"/>
      <c r="Z303" s="18">
        <v>0</v>
      </c>
      <c r="AA303" s="18">
        <v>0</v>
      </c>
      <c r="AB303" s="18"/>
      <c r="AC303" s="18">
        <v>150</v>
      </c>
      <c r="AD303" s="18"/>
      <c r="AE303" s="18">
        <v>300</v>
      </c>
      <c r="AF303" s="18">
        <v>450</v>
      </c>
      <c r="AG303" s="18" t="s">
        <v>611</v>
      </c>
      <c r="AH303" s="18" t="s">
        <v>41</v>
      </c>
      <c r="AI303" s="18" t="s">
        <v>41</v>
      </c>
      <c r="AJ303" s="18">
        <v>1</v>
      </c>
      <c r="AK303" s="18" t="s">
        <v>1419</v>
      </c>
      <c r="AL303" s="19" t="s">
        <v>41</v>
      </c>
    </row>
    <row r="304" spans="1:38">
      <c r="A304" s="17" t="s">
        <v>661</v>
      </c>
      <c r="B304" s="18" t="s">
        <v>38</v>
      </c>
      <c r="C304" s="18">
        <v>2</v>
      </c>
      <c r="D304" s="18" t="s">
        <v>662</v>
      </c>
      <c r="E304" s="18" t="s">
        <v>663</v>
      </c>
      <c r="F304" s="18" t="s">
        <v>41</v>
      </c>
      <c r="G304" s="18" t="s">
        <v>664</v>
      </c>
      <c r="H304" s="18">
        <v>22</v>
      </c>
      <c r="I304" s="18">
        <v>1800</v>
      </c>
      <c r="J304" s="18">
        <v>27000</v>
      </c>
      <c r="K304" s="18">
        <v>22770</v>
      </c>
      <c r="L304" s="18">
        <v>0</v>
      </c>
      <c r="M304" s="18">
        <v>0</v>
      </c>
      <c r="N304" s="18">
        <v>0</v>
      </c>
      <c r="O304" s="18">
        <v>45</v>
      </c>
      <c r="P304" s="18">
        <v>3550</v>
      </c>
      <c r="Q304" s="18">
        <f>#REF!/#REF!</f>
        <v>1.9722222222222223</v>
      </c>
      <c r="R304" s="18"/>
      <c r="S304" s="18">
        <v>1</v>
      </c>
      <c r="T304" s="18"/>
      <c r="U304" s="18"/>
      <c r="V304" s="18"/>
      <c r="W304" s="18"/>
      <c r="X304" s="18"/>
      <c r="Y304" s="18"/>
      <c r="Z304" s="18">
        <v>206</v>
      </c>
      <c r="AA304" s="18">
        <v>800</v>
      </c>
      <c r="AB304" s="18"/>
      <c r="AC304" s="18">
        <v>400</v>
      </c>
      <c r="AD304" s="18"/>
      <c r="AE304" s="18">
        <v>550</v>
      </c>
      <c r="AF304" s="18">
        <v>825</v>
      </c>
      <c r="AG304" s="18" t="s">
        <v>424</v>
      </c>
      <c r="AH304" s="18" t="s">
        <v>1432</v>
      </c>
      <c r="AI304" s="18" t="s">
        <v>41</v>
      </c>
      <c r="AJ304" s="18">
        <v>1</v>
      </c>
      <c r="AK304" s="18" t="s">
        <v>1433</v>
      </c>
      <c r="AL304" s="19" t="s">
        <v>41</v>
      </c>
    </row>
    <row r="305" spans="1:38">
      <c r="A305" s="17" t="s">
        <v>954</v>
      </c>
      <c r="B305" s="18" t="s">
        <v>806</v>
      </c>
      <c r="C305" s="18">
        <v>1</v>
      </c>
      <c r="D305" s="18" t="s">
        <v>955</v>
      </c>
      <c r="E305" s="18" t="s">
        <v>572</v>
      </c>
      <c r="F305" s="18" t="s">
        <v>41</v>
      </c>
      <c r="G305" s="18" t="s">
        <v>573</v>
      </c>
      <c r="H305" s="18">
        <v>9</v>
      </c>
      <c r="I305" s="18">
        <v>51</v>
      </c>
      <c r="J305" s="18">
        <v>1450</v>
      </c>
      <c r="K305" s="18">
        <v>2400</v>
      </c>
      <c r="L305" s="18">
        <v>0</v>
      </c>
      <c r="M305" s="18">
        <v>0</v>
      </c>
      <c r="N305" s="18">
        <v>0</v>
      </c>
      <c r="O305" s="18">
        <v>360</v>
      </c>
      <c r="P305" s="18">
        <v>100</v>
      </c>
      <c r="Q305" s="18">
        <f>#REF!/#REF!</f>
        <v>1.9607843137254901</v>
      </c>
      <c r="R305" s="18"/>
      <c r="S305" s="18"/>
      <c r="T305" s="18">
        <v>1</v>
      </c>
      <c r="U305" s="18"/>
      <c r="V305" s="18"/>
      <c r="W305" s="18"/>
      <c r="X305" s="18"/>
      <c r="Y305" s="18"/>
      <c r="Z305" s="18">
        <v>0</v>
      </c>
      <c r="AA305" s="18">
        <v>0</v>
      </c>
      <c r="AB305" s="18"/>
      <c r="AC305" s="18"/>
      <c r="AD305" s="18">
        <v>1120</v>
      </c>
      <c r="AE305" s="18">
        <v>835</v>
      </c>
      <c r="AF305" s="18">
        <v>1253</v>
      </c>
      <c r="AG305" s="18" t="s">
        <v>48</v>
      </c>
      <c r="AH305" s="18" t="s">
        <v>41</v>
      </c>
      <c r="AI305" s="18" t="s">
        <v>41</v>
      </c>
      <c r="AJ305" s="18">
        <v>1</v>
      </c>
      <c r="AK305" s="18" t="s">
        <v>1539</v>
      </c>
      <c r="AL305" s="19" t="s">
        <v>41</v>
      </c>
    </row>
    <row r="306" spans="1:38">
      <c r="A306" s="17" t="s">
        <v>942</v>
      </c>
      <c r="B306" s="18" t="s">
        <v>806</v>
      </c>
      <c r="C306" s="18">
        <v>2</v>
      </c>
      <c r="D306" s="18" t="s">
        <v>324</v>
      </c>
      <c r="E306" s="18" t="s">
        <v>325</v>
      </c>
      <c r="F306" s="18" t="s">
        <v>41</v>
      </c>
      <c r="G306" s="18" t="s">
        <v>326</v>
      </c>
      <c r="H306" s="18">
        <v>24</v>
      </c>
      <c r="I306" s="18">
        <v>800</v>
      </c>
      <c r="J306" s="18">
        <v>7500</v>
      </c>
      <c r="K306" s="18">
        <v>10300</v>
      </c>
      <c r="L306" s="18">
        <v>0</v>
      </c>
      <c r="M306" s="18">
        <v>0</v>
      </c>
      <c r="N306" s="18">
        <v>0</v>
      </c>
      <c r="O306" s="18">
        <v>0</v>
      </c>
      <c r="P306" s="18">
        <v>1530</v>
      </c>
      <c r="Q306" s="18">
        <f>#REF!/#REF!</f>
        <v>1.9125000000000001</v>
      </c>
      <c r="R306" s="18"/>
      <c r="S306" s="18"/>
      <c r="T306" s="18"/>
      <c r="U306" s="18"/>
      <c r="V306" s="18"/>
      <c r="W306" s="18"/>
      <c r="X306" s="18"/>
      <c r="Y306" s="18">
        <v>1</v>
      </c>
      <c r="Z306" s="18">
        <v>0</v>
      </c>
      <c r="AA306" s="18">
        <v>0</v>
      </c>
      <c r="AB306" s="18"/>
      <c r="AC306" s="18"/>
      <c r="AD306" s="18"/>
      <c r="AE306" s="18">
        <v>273</v>
      </c>
      <c r="AF306" s="18">
        <v>410</v>
      </c>
      <c r="AG306" s="18" t="s">
        <v>41</v>
      </c>
      <c r="AH306" s="18" t="s">
        <v>41</v>
      </c>
      <c r="AI306" s="18" t="s">
        <v>41</v>
      </c>
      <c r="AJ306" s="18">
        <v>1</v>
      </c>
      <c r="AK306" s="18" t="s">
        <v>1533</v>
      </c>
      <c r="AL306" s="19" t="s">
        <v>41</v>
      </c>
    </row>
    <row r="307" spans="1:38">
      <c r="A307" s="17" t="s">
        <v>720</v>
      </c>
      <c r="B307" s="18" t="s">
        <v>38</v>
      </c>
      <c r="C307" s="18">
        <v>1</v>
      </c>
      <c r="D307" s="18" t="s">
        <v>721</v>
      </c>
      <c r="E307" s="18" t="s">
        <v>722</v>
      </c>
      <c r="F307" s="18" t="s">
        <v>41</v>
      </c>
      <c r="G307" s="18" t="s">
        <v>17</v>
      </c>
      <c r="H307" s="18">
        <v>16</v>
      </c>
      <c r="I307" s="18">
        <v>440</v>
      </c>
      <c r="J307" s="18">
        <v>3100</v>
      </c>
      <c r="K307" s="18">
        <v>5800</v>
      </c>
      <c r="L307" s="18">
        <v>0</v>
      </c>
      <c r="M307" s="18">
        <v>0</v>
      </c>
      <c r="N307" s="18">
        <v>0</v>
      </c>
      <c r="O307" s="18">
        <v>66</v>
      </c>
      <c r="P307" s="18">
        <v>840</v>
      </c>
      <c r="Q307" s="18">
        <f>#REF!/#REF!</f>
        <v>1.9090909090909092</v>
      </c>
      <c r="R307" s="18"/>
      <c r="S307" s="18">
        <v>1</v>
      </c>
      <c r="T307" s="18"/>
      <c r="U307" s="18"/>
      <c r="V307" s="18"/>
      <c r="W307" s="18"/>
      <c r="X307" s="18"/>
      <c r="Y307" s="18"/>
      <c r="Z307" s="18">
        <v>86</v>
      </c>
      <c r="AA307" s="18">
        <v>500</v>
      </c>
      <c r="AB307" s="18"/>
      <c r="AC307" s="18">
        <v>400</v>
      </c>
      <c r="AD307" s="18"/>
      <c r="AE307" s="18">
        <v>400</v>
      </c>
      <c r="AF307" s="18">
        <v>600</v>
      </c>
      <c r="AG307" s="18" t="s">
        <v>41</v>
      </c>
      <c r="AH307" s="18" t="s">
        <v>168</v>
      </c>
      <c r="AI307" s="18" t="s">
        <v>41</v>
      </c>
      <c r="AJ307" s="18">
        <v>1</v>
      </c>
      <c r="AK307" s="18" t="s">
        <v>1447</v>
      </c>
      <c r="AL307" s="19" t="s">
        <v>41</v>
      </c>
    </row>
    <row r="308" spans="1:38">
      <c r="A308" s="17" t="s">
        <v>844</v>
      </c>
      <c r="B308" s="18" t="s">
        <v>806</v>
      </c>
      <c r="C308" s="18">
        <v>2</v>
      </c>
      <c r="D308" s="18" t="s">
        <v>160</v>
      </c>
      <c r="E308" s="18" t="s">
        <v>161</v>
      </c>
      <c r="F308" s="18" t="s">
        <v>41</v>
      </c>
      <c r="G308" s="18" t="s">
        <v>162</v>
      </c>
      <c r="H308" s="18">
        <v>52</v>
      </c>
      <c r="I308" s="18">
        <v>3100</v>
      </c>
      <c r="J308" s="18">
        <v>10000</v>
      </c>
      <c r="K308" s="18">
        <v>15700</v>
      </c>
      <c r="L308" s="18">
        <v>0</v>
      </c>
      <c r="M308" s="18">
        <v>0</v>
      </c>
      <c r="N308" s="18">
        <v>300</v>
      </c>
      <c r="O308" s="18">
        <v>0</v>
      </c>
      <c r="P308" s="18">
        <v>5900</v>
      </c>
      <c r="Q308" s="18">
        <f>#REF!/#REF!</f>
        <v>1.903225806451613</v>
      </c>
      <c r="R308" s="18"/>
      <c r="S308" s="18"/>
      <c r="T308" s="18"/>
      <c r="U308" s="18"/>
      <c r="V308" s="18"/>
      <c r="W308" s="18"/>
      <c r="X308" s="18"/>
      <c r="Y308" s="18">
        <v>1</v>
      </c>
      <c r="Z308" s="18">
        <v>0</v>
      </c>
      <c r="AA308" s="18">
        <v>0</v>
      </c>
      <c r="AB308" s="18"/>
      <c r="AC308" s="18"/>
      <c r="AD308" s="18"/>
      <c r="AE308" s="18">
        <v>302</v>
      </c>
      <c r="AF308" s="18">
        <v>452</v>
      </c>
      <c r="AG308" s="18" t="s">
        <v>41</v>
      </c>
      <c r="AH308" s="18" t="s">
        <v>41</v>
      </c>
      <c r="AI308" s="18" t="s">
        <v>845</v>
      </c>
      <c r="AJ308" s="18">
        <v>1</v>
      </c>
      <c r="AK308" s="18" t="s">
        <v>1497</v>
      </c>
      <c r="AL308" s="19" t="s">
        <v>41</v>
      </c>
    </row>
    <row r="309" spans="1:38">
      <c r="A309" s="17" t="s">
        <v>159</v>
      </c>
      <c r="B309" s="18" t="s">
        <v>38</v>
      </c>
      <c r="C309" s="18">
        <v>2</v>
      </c>
      <c r="D309" s="18" t="s">
        <v>160</v>
      </c>
      <c r="E309" s="18" t="s">
        <v>161</v>
      </c>
      <c r="F309" s="18" t="s">
        <v>41</v>
      </c>
      <c r="G309" s="18" t="s">
        <v>162</v>
      </c>
      <c r="H309" s="18">
        <v>37</v>
      </c>
      <c r="I309" s="18">
        <v>3200</v>
      </c>
      <c r="J309" s="18">
        <v>9700</v>
      </c>
      <c r="K309" s="18">
        <v>16000</v>
      </c>
      <c r="L309" s="18">
        <v>0</v>
      </c>
      <c r="M309" s="18">
        <v>0</v>
      </c>
      <c r="N309" s="18">
        <v>300</v>
      </c>
      <c r="O309" s="18">
        <v>0</v>
      </c>
      <c r="P309" s="18">
        <v>6000</v>
      </c>
      <c r="Q309" s="18">
        <f>#REF!/#REF!</f>
        <v>1.875</v>
      </c>
      <c r="R309" s="18"/>
      <c r="S309" s="18"/>
      <c r="T309" s="18"/>
      <c r="U309" s="18"/>
      <c r="V309" s="18"/>
      <c r="W309" s="18"/>
      <c r="X309" s="18"/>
      <c r="Y309" s="18">
        <v>1</v>
      </c>
      <c r="Z309" s="18">
        <v>0</v>
      </c>
      <c r="AA309" s="18">
        <v>0</v>
      </c>
      <c r="AB309" s="18"/>
      <c r="AC309" s="18"/>
      <c r="AD309" s="18"/>
      <c r="AE309" s="18">
        <v>299</v>
      </c>
      <c r="AF309" s="18">
        <v>449</v>
      </c>
      <c r="AG309" s="18" t="s">
        <v>41</v>
      </c>
      <c r="AH309" s="18" t="s">
        <v>41</v>
      </c>
      <c r="AI309" s="18" t="s">
        <v>163</v>
      </c>
      <c r="AJ309" s="18">
        <v>1</v>
      </c>
      <c r="AK309" s="18" t="s">
        <v>1300</v>
      </c>
      <c r="AL309" s="19" t="s">
        <v>41</v>
      </c>
    </row>
    <row r="310" spans="1:38">
      <c r="A310" s="17" t="s">
        <v>1167</v>
      </c>
      <c r="B310" s="18" t="s">
        <v>806</v>
      </c>
      <c r="C310" s="18">
        <v>1</v>
      </c>
      <c r="D310" s="18" t="s">
        <v>1168</v>
      </c>
      <c r="E310" s="18" t="s">
        <v>722</v>
      </c>
      <c r="F310" s="18" t="s">
        <v>41</v>
      </c>
      <c r="G310" s="18" t="s">
        <v>17</v>
      </c>
      <c r="H310" s="18">
        <v>18</v>
      </c>
      <c r="I310" s="18">
        <v>580</v>
      </c>
      <c r="J310" s="18">
        <v>4000</v>
      </c>
      <c r="K310" s="18">
        <v>7200</v>
      </c>
      <c r="L310" s="18">
        <v>0</v>
      </c>
      <c r="M310" s="18">
        <v>0</v>
      </c>
      <c r="N310" s="18">
        <v>0</v>
      </c>
      <c r="O310" s="18">
        <v>57</v>
      </c>
      <c r="P310" s="18">
        <v>1060</v>
      </c>
      <c r="Q310" s="18">
        <f>#REF!/#REF!</f>
        <v>1.8275862068965518</v>
      </c>
      <c r="R310" s="18"/>
      <c r="S310" s="18">
        <v>1</v>
      </c>
      <c r="T310" s="18"/>
      <c r="U310" s="18"/>
      <c r="V310" s="18"/>
      <c r="W310" s="18"/>
      <c r="X310" s="18"/>
      <c r="Y310" s="18"/>
      <c r="Z310" s="18">
        <v>137</v>
      </c>
      <c r="AA310" s="18">
        <v>500</v>
      </c>
      <c r="AB310" s="18"/>
      <c r="AC310" s="18">
        <v>400</v>
      </c>
      <c r="AD310" s="18"/>
      <c r="AE310" s="18">
        <v>400</v>
      </c>
      <c r="AF310" s="18">
        <v>600</v>
      </c>
      <c r="AG310" s="18" t="s">
        <v>41</v>
      </c>
      <c r="AH310" s="18" t="s">
        <v>168</v>
      </c>
      <c r="AI310" s="18" t="s">
        <v>41</v>
      </c>
      <c r="AJ310" s="18">
        <v>1</v>
      </c>
      <c r="AK310" s="18" t="s">
        <v>1642</v>
      </c>
      <c r="AL310" s="19" t="s">
        <v>41</v>
      </c>
    </row>
    <row r="311" spans="1:38">
      <c r="A311" s="17" t="s">
        <v>848</v>
      </c>
      <c r="B311" s="18" t="s">
        <v>806</v>
      </c>
      <c r="C311" s="18">
        <v>2</v>
      </c>
      <c r="D311" s="18" t="s">
        <v>174</v>
      </c>
      <c r="E311" s="18" t="s">
        <v>175</v>
      </c>
      <c r="F311" s="18" t="s">
        <v>41</v>
      </c>
      <c r="G311" s="18" t="s">
        <v>176</v>
      </c>
      <c r="H311" s="18">
        <v>42</v>
      </c>
      <c r="I311" s="18">
        <v>2800</v>
      </c>
      <c r="J311" s="18">
        <v>16000</v>
      </c>
      <c r="K311" s="18">
        <v>18500</v>
      </c>
      <c r="L311" s="18">
        <v>0</v>
      </c>
      <c r="M311" s="18">
        <v>0</v>
      </c>
      <c r="N311" s="18">
        <v>300</v>
      </c>
      <c r="O311" s="18">
        <v>0</v>
      </c>
      <c r="P311" s="18">
        <v>5100</v>
      </c>
      <c r="Q311" s="18">
        <f>#REF!/#REF!</f>
        <v>1.8214285714285714</v>
      </c>
      <c r="R311" s="18"/>
      <c r="S311" s="18"/>
      <c r="T311" s="18"/>
      <c r="U311" s="18"/>
      <c r="V311" s="18"/>
      <c r="W311" s="18"/>
      <c r="X311" s="18"/>
      <c r="Y311" s="18">
        <v>1</v>
      </c>
      <c r="Z311" s="18">
        <v>0</v>
      </c>
      <c r="AA311" s="18">
        <v>0</v>
      </c>
      <c r="AB311" s="18"/>
      <c r="AC311" s="18"/>
      <c r="AD311" s="18"/>
      <c r="AE311" s="18">
        <v>286</v>
      </c>
      <c r="AF311" s="18">
        <v>429</v>
      </c>
      <c r="AG311" s="18" t="s">
        <v>41</v>
      </c>
      <c r="AH311" s="18" t="s">
        <v>41</v>
      </c>
      <c r="AI311" s="18" t="s">
        <v>849</v>
      </c>
      <c r="AJ311" s="18">
        <v>1</v>
      </c>
      <c r="AK311" s="18" t="s">
        <v>1499</v>
      </c>
      <c r="AL311" s="19" t="s">
        <v>41</v>
      </c>
    </row>
    <row r="312" spans="1:38">
      <c r="A312" s="17" t="s">
        <v>125</v>
      </c>
      <c r="B312" s="18" t="s">
        <v>38</v>
      </c>
      <c r="C312" s="18">
        <v>2</v>
      </c>
      <c r="D312" s="18" t="s">
        <v>126</v>
      </c>
      <c r="E312" s="18" t="s">
        <v>127</v>
      </c>
      <c r="F312" s="18" t="s">
        <v>41</v>
      </c>
      <c r="G312" s="18" t="s">
        <v>125</v>
      </c>
      <c r="H312" s="18">
        <v>88</v>
      </c>
      <c r="I312" s="18">
        <v>3500</v>
      </c>
      <c r="J312" s="18">
        <v>74000</v>
      </c>
      <c r="K312" s="18">
        <v>52000</v>
      </c>
      <c r="L312" s="18">
        <v>0</v>
      </c>
      <c r="M312" s="18">
        <v>0</v>
      </c>
      <c r="N312" s="18">
        <v>0</v>
      </c>
      <c r="O312" s="18">
        <v>0</v>
      </c>
      <c r="P312" s="18">
        <v>6100</v>
      </c>
      <c r="Q312" s="18">
        <f>#REF!/#REF!</f>
        <v>1.7428571428571429</v>
      </c>
      <c r="R312" s="18"/>
      <c r="S312" s="18"/>
      <c r="T312" s="18"/>
      <c r="U312" s="18"/>
      <c r="V312" s="18"/>
      <c r="W312" s="18"/>
      <c r="X312" s="18"/>
      <c r="Y312" s="18">
        <v>1</v>
      </c>
      <c r="Z312" s="18">
        <v>1091</v>
      </c>
      <c r="AA312" s="18">
        <v>1400</v>
      </c>
      <c r="AB312" s="18"/>
      <c r="AC312" s="18"/>
      <c r="AD312" s="18">
        <v>1500</v>
      </c>
      <c r="AE312" s="18">
        <v>780</v>
      </c>
      <c r="AF312" s="18">
        <v>1170</v>
      </c>
      <c r="AG312" s="18" t="s">
        <v>48</v>
      </c>
      <c r="AH312" s="18" t="s">
        <v>128</v>
      </c>
      <c r="AI312" s="18" t="s">
        <v>41</v>
      </c>
      <c r="AJ312" s="18">
        <v>1</v>
      </c>
      <c r="AK312" s="18" t="s">
        <v>1290</v>
      </c>
      <c r="AL312" s="19" t="s">
        <v>41</v>
      </c>
    </row>
    <row r="313" spans="1:38">
      <c r="A313" s="17" t="s">
        <v>570</v>
      </c>
      <c r="B313" s="18" t="s">
        <v>38</v>
      </c>
      <c r="C313" s="18">
        <v>1</v>
      </c>
      <c r="D313" s="18" t="s">
        <v>571</v>
      </c>
      <c r="E313" s="18" t="s">
        <v>572</v>
      </c>
      <c r="F313" s="18" t="s">
        <v>41</v>
      </c>
      <c r="G313" s="18" t="s">
        <v>573</v>
      </c>
      <c r="H313" s="18">
        <v>10</v>
      </c>
      <c r="I313" s="18">
        <v>52</v>
      </c>
      <c r="J313" s="18">
        <v>1550</v>
      </c>
      <c r="K313" s="18">
        <v>2800</v>
      </c>
      <c r="L313" s="18">
        <v>0</v>
      </c>
      <c r="M313" s="18">
        <v>0</v>
      </c>
      <c r="N313" s="18">
        <v>0</v>
      </c>
      <c r="O313" s="18">
        <v>375</v>
      </c>
      <c r="P313" s="18">
        <v>89</v>
      </c>
      <c r="Q313" s="18">
        <f>#REF!/#REF!</f>
        <v>1.7115384615384615</v>
      </c>
      <c r="R313" s="18"/>
      <c r="S313" s="18"/>
      <c r="T313" s="18">
        <v>1</v>
      </c>
      <c r="U313" s="18"/>
      <c r="V313" s="18"/>
      <c r="W313" s="18"/>
      <c r="X313" s="18"/>
      <c r="Y313" s="18"/>
      <c r="Z313" s="18">
        <v>0</v>
      </c>
      <c r="AA313" s="18">
        <v>0</v>
      </c>
      <c r="AB313" s="18"/>
      <c r="AC313" s="18"/>
      <c r="AD313" s="18">
        <v>1140</v>
      </c>
      <c r="AE313" s="18">
        <v>865</v>
      </c>
      <c r="AF313" s="18">
        <v>1298</v>
      </c>
      <c r="AG313" s="18" t="s">
        <v>48</v>
      </c>
      <c r="AH313" s="18" t="s">
        <v>41</v>
      </c>
      <c r="AI313" s="18" t="s">
        <v>41</v>
      </c>
      <c r="AJ313" s="18">
        <v>1</v>
      </c>
      <c r="AK313" s="18" t="s">
        <v>1410</v>
      </c>
      <c r="AL313" s="19" t="s">
        <v>41</v>
      </c>
    </row>
    <row r="314" spans="1:38">
      <c r="A314" s="17" t="s">
        <v>1185</v>
      </c>
      <c r="B314" s="18" t="s">
        <v>806</v>
      </c>
      <c r="C314" s="18">
        <v>2</v>
      </c>
      <c r="D314" s="18" t="s">
        <v>1186</v>
      </c>
      <c r="E314" s="18" t="s">
        <v>1187</v>
      </c>
      <c r="F314" s="18" t="s">
        <v>41</v>
      </c>
      <c r="G314" s="18" t="s">
        <v>97</v>
      </c>
      <c r="H314" s="18">
        <v>30</v>
      </c>
      <c r="I314" s="18">
        <v>2500</v>
      </c>
      <c r="J314" s="18">
        <v>17000</v>
      </c>
      <c r="K314" s="18">
        <v>25700</v>
      </c>
      <c r="L314" s="18">
        <v>0</v>
      </c>
      <c r="M314" s="18">
        <v>0</v>
      </c>
      <c r="N314" s="18">
        <v>0</v>
      </c>
      <c r="O314" s="18">
        <v>0</v>
      </c>
      <c r="P314" s="18">
        <v>4250</v>
      </c>
      <c r="Q314" s="18">
        <f>#REF!/#REF!</f>
        <v>1.7</v>
      </c>
      <c r="R314" s="18"/>
      <c r="S314" s="18"/>
      <c r="T314" s="18"/>
      <c r="U314" s="18"/>
      <c r="V314" s="18"/>
      <c r="W314" s="18"/>
      <c r="X314" s="18"/>
      <c r="Y314" s="18">
        <v>1</v>
      </c>
      <c r="Z314" s="18">
        <v>400</v>
      </c>
      <c r="AA314" s="18">
        <v>1390</v>
      </c>
      <c r="AB314" s="18"/>
      <c r="AC314" s="18"/>
      <c r="AD314" s="18"/>
      <c r="AE314" s="18">
        <v>416</v>
      </c>
      <c r="AF314" s="18">
        <v>624</v>
      </c>
      <c r="AG314" s="18" t="s">
        <v>41</v>
      </c>
      <c r="AH314" s="18" t="s">
        <v>862</v>
      </c>
      <c r="AI314" s="18" t="s">
        <v>41</v>
      </c>
      <c r="AJ314" s="18">
        <v>1</v>
      </c>
      <c r="AK314" s="18" t="s">
        <v>1651</v>
      </c>
      <c r="AL314" s="19" t="s">
        <v>41</v>
      </c>
    </row>
    <row r="315" spans="1:38">
      <c r="A315" s="17" t="s">
        <v>612</v>
      </c>
      <c r="B315" s="18" t="s">
        <v>38</v>
      </c>
      <c r="C315" s="18">
        <v>1</v>
      </c>
      <c r="D315" s="18" t="s">
        <v>613</v>
      </c>
      <c r="E315" s="18" t="s">
        <v>614</v>
      </c>
      <c r="F315" s="18" t="s">
        <v>41</v>
      </c>
      <c r="G315" s="18" t="s">
        <v>615</v>
      </c>
      <c r="H315" s="18">
        <v>31</v>
      </c>
      <c r="I315" s="18">
        <v>130</v>
      </c>
      <c r="J315" s="18">
        <v>1400</v>
      </c>
      <c r="K315" s="18">
        <v>2800</v>
      </c>
      <c r="L315" s="18">
        <v>0</v>
      </c>
      <c r="M315" s="18">
        <v>0</v>
      </c>
      <c r="N315" s="18">
        <v>200</v>
      </c>
      <c r="O315" s="18">
        <v>78</v>
      </c>
      <c r="P315" s="18">
        <v>220</v>
      </c>
      <c r="Q315" s="18">
        <f>#REF!/#REF!</f>
        <v>1.6923076923076923</v>
      </c>
      <c r="R315" s="18"/>
      <c r="S315" s="18"/>
      <c r="T315" s="18"/>
      <c r="U315" s="18"/>
      <c r="V315" s="18"/>
      <c r="W315" s="18"/>
      <c r="X315" s="18"/>
      <c r="Y315" s="18"/>
      <c r="Z315" s="18">
        <v>0</v>
      </c>
      <c r="AA315" s="18">
        <v>0</v>
      </c>
      <c r="AB315" s="18"/>
      <c r="AC315" s="18"/>
      <c r="AD315" s="18">
        <v>50</v>
      </c>
      <c r="AE315" s="18">
        <v>430</v>
      </c>
      <c r="AF315" s="18">
        <v>645</v>
      </c>
      <c r="AG315" s="18" t="s">
        <v>616</v>
      </c>
      <c r="AH315" s="18" t="s">
        <v>41</v>
      </c>
      <c r="AI315" s="18" t="s">
        <v>41</v>
      </c>
      <c r="AJ315" s="18">
        <v>1</v>
      </c>
      <c r="AK315" s="18" t="s">
        <v>1420</v>
      </c>
      <c r="AL315" s="19" t="s">
        <v>41</v>
      </c>
    </row>
    <row r="316" spans="1:38">
      <c r="A316" s="17" t="s">
        <v>1078</v>
      </c>
      <c r="B316" s="18" t="s">
        <v>806</v>
      </c>
      <c r="C316" s="18">
        <v>1</v>
      </c>
      <c r="D316" s="18" t="s">
        <v>1079</v>
      </c>
      <c r="E316" s="18" t="s">
        <v>1080</v>
      </c>
      <c r="F316" s="18" t="s">
        <v>41</v>
      </c>
      <c r="G316" s="18" t="s">
        <v>615</v>
      </c>
      <c r="H316" s="18">
        <v>25</v>
      </c>
      <c r="I316" s="18">
        <v>130</v>
      </c>
      <c r="J316" s="18">
        <v>1400</v>
      </c>
      <c r="K316" s="18">
        <v>2800</v>
      </c>
      <c r="L316" s="18">
        <v>0</v>
      </c>
      <c r="M316" s="18">
        <v>0</v>
      </c>
      <c r="N316" s="18">
        <v>200</v>
      </c>
      <c r="O316" s="18">
        <v>78</v>
      </c>
      <c r="P316" s="18">
        <v>220</v>
      </c>
      <c r="Q316" s="18">
        <f>#REF!/#REF!</f>
        <v>1.6923076923076923</v>
      </c>
      <c r="R316" s="18"/>
      <c r="S316" s="18"/>
      <c r="T316" s="18"/>
      <c r="U316" s="18"/>
      <c r="V316" s="18"/>
      <c r="W316" s="18"/>
      <c r="X316" s="18"/>
      <c r="Y316" s="18"/>
      <c r="Z316" s="18">
        <v>0</v>
      </c>
      <c r="AA316" s="18">
        <v>0</v>
      </c>
      <c r="AB316" s="18"/>
      <c r="AC316" s="18"/>
      <c r="AD316" s="18">
        <v>50</v>
      </c>
      <c r="AE316" s="18">
        <v>430</v>
      </c>
      <c r="AF316" s="18">
        <v>645</v>
      </c>
      <c r="AG316" s="18" t="s">
        <v>616</v>
      </c>
      <c r="AH316" s="18" t="s">
        <v>41</v>
      </c>
      <c r="AI316" s="18" t="s">
        <v>41</v>
      </c>
      <c r="AJ316" s="18">
        <v>1</v>
      </c>
      <c r="AK316" s="18" t="s">
        <v>1603</v>
      </c>
      <c r="AL316" s="19" t="s">
        <v>41</v>
      </c>
    </row>
    <row r="317" spans="1:38">
      <c r="A317" s="17" t="s">
        <v>552</v>
      </c>
      <c r="B317" s="18" t="s">
        <v>38</v>
      </c>
      <c r="C317" s="18">
        <v>2</v>
      </c>
      <c r="D317" s="18" t="s">
        <v>553</v>
      </c>
      <c r="E317" s="18" t="s">
        <v>554</v>
      </c>
      <c r="F317" s="18" t="s">
        <v>41</v>
      </c>
      <c r="G317" s="18" t="s">
        <v>555</v>
      </c>
      <c r="H317" s="18">
        <v>50</v>
      </c>
      <c r="I317" s="18">
        <v>2000</v>
      </c>
      <c r="J317" s="18">
        <v>10000</v>
      </c>
      <c r="K317" s="18">
        <v>15000</v>
      </c>
      <c r="L317" s="18">
        <v>0</v>
      </c>
      <c r="M317" s="18">
        <v>0</v>
      </c>
      <c r="N317" s="18">
        <v>0</v>
      </c>
      <c r="O317" s="18">
        <v>63</v>
      </c>
      <c r="P317" s="18">
        <v>3350</v>
      </c>
      <c r="Q317" s="18">
        <f>#REF!/#REF!</f>
        <v>1.675</v>
      </c>
      <c r="R317" s="18"/>
      <c r="S317" s="18"/>
      <c r="T317" s="18"/>
      <c r="U317" s="18"/>
      <c r="V317" s="18">
        <v>1</v>
      </c>
      <c r="W317" s="18"/>
      <c r="X317" s="18"/>
      <c r="Y317" s="18"/>
      <c r="Z317" s="18">
        <v>177</v>
      </c>
      <c r="AA317" s="18">
        <v>1550</v>
      </c>
      <c r="AB317" s="18"/>
      <c r="AC317" s="18"/>
      <c r="AD317" s="18">
        <v>1000</v>
      </c>
      <c r="AE317" s="18">
        <v>319</v>
      </c>
      <c r="AF317" s="18">
        <v>478</v>
      </c>
      <c r="AG317" s="18" t="s">
        <v>48</v>
      </c>
      <c r="AH317" s="18" t="s">
        <v>54</v>
      </c>
      <c r="AI317" s="18" t="s">
        <v>41</v>
      </c>
      <c r="AJ317" s="18">
        <v>1</v>
      </c>
      <c r="AK317" s="18" t="s">
        <v>1405</v>
      </c>
      <c r="AL317" s="19" t="s">
        <v>41</v>
      </c>
    </row>
    <row r="318" spans="1:38">
      <c r="A318" s="17" t="s">
        <v>1070</v>
      </c>
      <c r="B318" s="18" t="s">
        <v>806</v>
      </c>
      <c r="C318" s="18">
        <v>2</v>
      </c>
      <c r="D318" s="18" t="s">
        <v>1071</v>
      </c>
      <c r="E318" s="18" t="s">
        <v>1072</v>
      </c>
      <c r="F318" s="18" t="s">
        <v>41</v>
      </c>
      <c r="G318" s="18" t="s">
        <v>555</v>
      </c>
      <c r="H318" s="18">
        <v>24</v>
      </c>
      <c r="I318" s="18">
        <v>2000</v>
      </c>
      <c r="J318" s="18">
        <v>10000</v>
      </c>
      <c r="K318" s="18">
        <v>15000</v>
      </c>
      <c r="L318" s="18">
        <v>0</v>
      </c>
      <c r="M318" s="18">
        <v>0</v>
      </c>
      <c r="N318" s="18">
        <v>0</v>
      </c>
      <c r="O318" s="18">
        <v>61</v>
      </c>
      <c r="P318" s="18">
        <v>3350</v>
      </c>
      <c r="Q318" s="18">
        <f>#REF!/#REF!</f>
        <v>1.675</v>
      </c>
      <c r="R318" s="18"/>
      <c r="S318" s="18"/>
      <c r="T318" s="18"/>
      <c r="U318" s="18"/>
      <c r="V318" s="18">
        <v>1</v>
      </c>
      <c r="W318" s="18"/>
      <c r="X318" s="18"/>
      <c r="Y318" s="18"/>
      <c r="Z318" s="18">
        <v>207</v>
      </c>
      <c r="AA318" s="18">
        <v>1550</v>
      </c>
      <c r="AB318" s="18"/>
      <c r="AC318" s="18"/>
      <c r="AD318" s="18">
        <v>1000</v>
      </c>
      <c r="AE318" s="18">
        <v>319</v>
      </c>
      <c r="AF318" s="18">
        <v>478</v>
      </c>
      <c r="AG318" s="18" t="s">
        <v>48</v>
      </c>
      <c r="AH318" s="18" t="s">
        <v>54</v>
      </c>
      <c r="AI318" s="18" t="s">
        <v>41</v>
      </c>
      <c r="AJ318" s="18">
        <v>1</v>
      </c>
      <c r="AK318" s="18" t="s">
        <v>1597</v>
      </c>
      <c r="AL318" s="19" t="s">
        <v>41</v>
      </c>
    </row>
    <row r="319" spans="1:38">
      <c r="A319" s="17" t="s">
        <v>173</v>
      </c>
      <c r="B319" s="18" t="s">
        <v>38</v>
      </c>
      <c r="C319" s="18">
        <v>2</v>
      </c>
      <c r="D319" s="18" t="s">
        <v>174</v>
      </c>
      <c r="E319" s="18" t="s">
        <v>175</v>
      </c>
      <c r="F319" s="18" t="s">
        <v>41</v>
      </c>
      <c r="G319" s="18" t="s">
        <v>176</v>
      </c>
      <c r="H319" s="18">
        <v>91</v>
      </c>
      <c r="I319" s="18">
        <v>2900</v>
      </c>
      <c r="J319" s="18">
        <v>14000</v>
      </c>
      <c r="K319" s="18">
        <v>18000</v>
      </c>
      <c r="L319" s="18">
        <v>0</v>
      </c>
      <c r="M319" s="18">
        <v>0</v>
      </c>
      <c r="N319" s="18">
        <v>300</v>
      </c>
      <c r="O319" s="18">
        <v>0</v>
      </c>
      <c r="P319" s="18">
        <v>4750</v>
      </c>
      <c r="Q319" s="18">
        <f>#REF!/#REF!</f>
        <v>1.6379310344827587</v>
      </c>
      <c r="R319" s="18"/>
      <c r="S319" s="18"/>
      <c r="T319" s="18"/>
      <c r="U319" s="18"/>
      <c r="V319" s="18"/>
      <c r="W319" s="18"/>
      <c r="X319" s="18"/>
      <c r="Y319" s="18">
        <v>1</v>
      </c>
      <c r="Z319" s="18">
        <v>0</v>
      </c>
      <c r="AA319" s="18">
        <v>0</v>
      </c>
      <c r="AB319" s="18"/>
      <c r="AC319" s="18"/>
      <c r="AD319" s="18"/>
      <c r="AE319" s="18">
        <v>283</v>
      </c>
      <c r="AF319" s="18">
        <v>425</v>
      </c>
      <c r="AG319" s="18" t="s">
        <v>41</v>
      </c>
      <c r="AH319" s="18" t="s">
        <v>41</v>
      </c>
      <c r="AI319" s="18" t="s">
        <v>177</v>
      </c>
      <c r="AJ319" s="18">
        <v>1</v>
      </c>
      <c r="AK319" s="18" t="s">
        <v>1304</v>
      </c>
      <c r="AL319" s="19" t="s">
        <v>41</v>
      </c>
    </row>
    <row r="320" spans="1:38">
      <c r="A320" s="17" t="s">
        <v>1188</v>
      </c>
      <c r="B320" s="18" t="s">
        <v>806</v>
      </c>
      <c r="C320" s="18">
        <v>2</v>
      </c>
      <c r="D320" s="18" t="s">
        <v>1189</v>
      </c>
      <c r="E320" s="18" t="s">
        <v>1190</v>
      </c>
      <c r="F320" s="18" t="s">
        <v>41</v>
      </c>
      <c r="G320" s="18" t="s">
        <v>1191</v>
      </c>
      <c r="H320" s="18">
        <v>56</v>
      </c>
      <c r="I320" s="18">
        <v>1850</v>
      </c>
      <c r="J320" s="18">
        <v>49000</v>
      </c>
      <c r="K320" s="18">
        <v>31100</v>
      </c>
      <c r="L320" s="18">
        <v>0</v>
      </c>
      <c r="M320" s="18">
        <v>0</v>
      </c>
      <c r="N320" s="18">
        <v>0</v>
      </c>
      <c r="O320" s="18">
        <v>41</v>
      </c>
      <c r="P320" s="18">
        <v>3000</v>
      </c>
      <c r="Q320" s="18">
        <f>#REF!/#REF!</f>
        <v>1.6216216216216217</v>
      </c>
      <c r="R320" s="18"/>
      <c r="S320" s="18"/>
      <c r="T320" s="18"/>
      <c r="U320" s="18"/>
      <c r="V320" s="18"/>
      <c r="W320" s="18"/>
      <c r="X320" s="18"/>
      <c r="Y320" s="18"/>
      <c r="Z320" s="18">
        <v>300</v>
      </c>
      <c r="AA320" s="18">
        <v>1470</v>
      </c>
      <c r="AB320" s="18"/>
      <c r="AC320" s="18"/>
      <c r="AD320" s="18"/>
      <c r="AE320" s="18">
        <v>351</v>
      </c>
      <c r="AF320" s="18">
        <v>527</v>
      </c>
      <c r="AG320" s="18" t="s">
        <v>41</v>
      </c>
      <c r="AH320" s="18" t="s">
        <v>124</v>
      </c>
      <c r="AI320" s="18" t="s">
        <v>41</v>
      </c>
      <c r="AJ320" s="18">
        <v>1</v>
      </c>
      <c r="AK320" s="18" t="s">
        <v>1652</v>
      </c>
      <c r="AL320" s="19" t="s">
        <v>41</v>
      </c>
    </row>
    <row r="321" spans="1:38">
      <c r="A321" s="17" t="s">
        <v>94</v>
      </c>
      <c r="B321" s="18" t="s">
        <v>38</v>
      </c>
      <c r="C321" s="18">
        <v>2</v>
      </c>
      <c r="D321" s="18" t="s">
        <v>95</v>
      </c>
      <c r="E321" s="18" t="s">
        <v>96</v>
      </c>
      <c r="F321" s="18" t="s">
        <v>41</v>
      </c>
      <c r="G321" s="18" t="s">
        <v>97</v>
      </c>
      <c r="H321" s="18">
        <v>24</v>
      </c>
      <c r="I321" s="18">
        <v>2500</v>
      </c>
      <c r="J321" s="18">
        <v>17000</v>
      </c>
      <c r="K321" s="18">
        <v>27000</v>
      </c>
      <c r="L321" s="18">
        <v>0</v>
      </c>
      <c r="M321" s="18">
        <v>0</v>
      </c>
      <c r="N321" s="18">
        <v>0</v>
      </c>
      <c r="O321" s="18">
        <v>0</v>
      </c>
      <c r="P321" s="18">
        <v>4000</v>
      </c>
      <c r="Q321" s="18">
        <f>#REF!/#REF!</f>
        <v>1.6</v>
      </c>
      <c r="R321" s="18"/>
      <c r="S321" s="18"/>
      <c r="T321" s="18"/>
      <c r="U321" s="18"/>
      <c r="V321" s="18"/>
      <c r="W321" s="18"/>
      <c r="X321" s="18"/>
      <c r="Y321" s="18">
        <v>1</v>
      </c>
      <c r="Z321" s="18">
        <v>389</v>
      </c>
      <c r="AA321" s="18">
        <v>1380</v>
      </c>
      <c r="AB321" s="18"/>
      <c r="AC321" s="18"/>
      <c r="AD321" s="18"/>
      <c r="AE321" s="18">
        <v>442</v>
      </c>
      <c r="AF321" s="18">
        <v>663</v>
      </c>
      <c r="AG321" s="18" t="s">
        <v>98</v>
      </c>
      <c r="AH321" s="18" t="s">
        <v>862</v>
      </c>
      <c r="AI321" s="18" t="s">
        <v>41</v>
      </c>
      <c r="AJ321" s="18">
        <v>1</v>
      </c>
      <c r="AK321" s="18" t="s">
        <v>1284</v>
      </c>
      <c r="AL321" s="19" t="s">
        <v>41</v>
      </c>
    </row>
    <row r="322" spans="1:38">
      <c r="A322" s="17" t="s">
        <v>313</v>
      </c>
      <c r="B322" s="18" t="s">
        <v>38</v>
      </c>
      <c r="C322" s="18">
        <v>2</v>
      </c>
      <c r="D322" s="18" t="s">
        <v>314</v>
      </c>
      <c r="E322" s="18" t="s">
        <v>315</v>
      </c>
      <c r="F322" s="18" t="s">
        <v>41</v>
      </c>
      <c r="G322" s="18" t="s">
        <v>316</v>
      </c>
      <c r="H322" s="18">
        <v>24</v>
      </c>
      <c r="I322" s="18">
        <v>210</v>
      </c>
      <c r="J322" s="18">
        <v>3000</v>
      </c>
      <c r="K322" s="18">
        <v>4300</v>
      </c>
      <c r="L322" s="18">
        <v>0</v>
      </c>
      <c r="M322" s="18">
        <v>12</v>
      </c>
      <c r="N322" s="18">
        <v>140</v>
      </c>
      <c r="O322" s="18">
        <v>75</v>
      </c>
      <c r="P322" s="18">
        <v>335</v>
      </c>
      <c r="Q322" s="18">
        <f>#REF!/#REF!</f>
        <v>1.5952380952380953</v>
      </c>
      <c r="R322" s="18"/>
      <c r="S322" s="18"/>
      <c r="T322" s="18"/>
      <c r="U322" s="18"/>
      <c r="V322" s="18"/>
      <c r="W322" s="18"/>
      <c r="X322" s="18"/>
      <c r="Y322" s="18"/>
      <c r="Z322" s="18">
        <v>0</v>
      </c>
      <c r="AA322" s="18">
        <v>0</v>
      </c>
      <c r="AB322" s="18"/>
      <c r="AC322" s="18"/>
      <c r="AD322" s="18">
        <v>50</v>
      </c>
      <c r="AE322" s="18">
        <v>377</v>
      </c>
      <c r="AF322" s="18">
        <v>566</v>
      </c>
      <c r="AG322" s="18" t="s">
        <v>41</v>
      </c>
      <c r="AH322" s="18" t="s">
        <v>41</v>
      </c>
      <c r="AI322" s="18" t="s">
        <v>317</v>
      </c>
      <c r="AJ322" s="18">
        <v>1</v>
      </c>
      <c r="AK322" s="18" t="s">
        <v>1337</v>
      </c>
      <c r="AL322" s="19" t="s">
        <v>41</v>
      </c>
    </row>
    <row r="323" spans="1:38">
      <c r="A323" s="17" t="s">
        <v>64</v>
      </c>
      <c r="B323" s="18" t="s">
        <v>38</v>
      </c>
      <c r="C323" s="18">
        <v>2</v>
      </c>
      <c r="D323" s="18" t="s">
        <v>65</v>
      </c>
      <c r="E323" s="18" t="s">
        <v>57</v>
      </c>
      <c r="F323" s="18" t="s">
        <v>41</v>
      </c>
      <c r="G323" s="18" t="s">
        <v>66</v>
      </c>
      <c r="H323" s="18">
        <v>26</v>
      </c>
      <c r="I323" s="18">
        <v>700</v>
      </c>
      <c r="J323" s="18">
        <v>9000</v>
      </c>
      <c r="K323" s="18">
        <v>18000</v>
      </c>
      <c r="L323" s="18">
        <v>0</v>
      </c>
      <c r="M323" s="18">
        <v>30</v>
      </c>
      <c r="N323" s="18">
        <v>300</v>
      </c>
      <c r="O323" s="18">
        <v>72</v>
      </c>
      <c r="P323" s="18">
        <v>1110</v>
      </c>
      <c r="Q323" s="18">
        <f>#REF!/#REF!</f>
        <v>1.5857142857142856</v>
      </c>
      <c r="R323" s="18"/>
      <c r="S323" s="18">
        <v>1</v>
      </c>
      <c r="T323" s="18"/>
      <c r="U323" s="18"/>
      <c r="V323" s="18"/>
      <c r="W323" s="18"/>
      <c r="X323" s="18"/>
      <c r="Y323" s="18"/>
      <c r="Z323" s="18">
        <v>0</v>
      </c>
      <c r="AA323" s="18">
        <v>0</v>
      </c>
      <c r="AB323" s="18"/>
      <c r="AC323" s="18"/>
      <c r="AD323" s="18">
        <v>50</v>
      </c>
      <c r="AE323" s="18">
        <v>156</v>
      </c>
      <c r="AF323" s="18">
        <v>234</v>
      </c>
      <c r="AG323" s="18" t="s">
        <v>41</v>
      </c>
      <c r="AH323" s="18" t="s">
        <v>41</v>
      </c>
      <c r="AI323" s="18" t="s">
        <v>67</v>
      </c>
      <c r="AJ323" s="18">
        <v>1</v>
      </c>
      <c r="AK323" s="18" t="s">
        <v>1277</v>
      </c>
      <c r="AL323" s="19" t="s">
        <v>41</v>
      </c>
    </row>
    <row r="324" spans="1:38">
      <c r="A324" s="17" t="s">
        <v>815</v>
      </c>
      <c r="B324" s="18" t="s">
        <v>806</v>
      </c>
      <c r="C324" s="18">
        <v>2</v>
      </c>
      <c r="D324" s="18" t="s">
        <v>65</v>
      </c>
      <c r="E324" s="18" t="s">
        <v>57</v>
      </c>
      <c r="F324" s="18" t="s">
        <v>41</v>
      </c>
      <c r="G324" s="18" t="s">
        <v>66</v>
      </c>
      <c r="H324" s="18">
        <v>19</v>
      </c>
      <c r="I324" s="18">
        <v>700</v>
      </c>
      <c r="J324" s="18">
        <v>9000</v>
      </c>
      <c r="K324" s="18">
        <v>18000</v>
      </c>
      <c r="L324" s="18">
        <v>0</v>
      </c>
      <c r="M324" s="18">
        <v>30</v>
      </c>
      <c r="N324" s="18">
        <v>300</v>
      </c>
      <c r="O324" s="18">
        <v>65</v>
      </c>
      <c r="P324" s="18">
        <v>1110</v>
      </c>
      <c r="Q324" s="18">
        <f>#REF!/#REF!</f>
        <v>1.5857142857142856</v>
      </c>
      <c r="R324" s="18"/>
      <c r="S324" s="18">
        <v>1</v>
      </c>
      <c r="T324" s="18"/>
      <c r="U324" s="18"/>
      <c r="V324" s="18"/>
      <c r="W324" s="18"/>
      <c r="X324" s="18"/>
      <c r="Y324" s="18"/>
      <c r="Z324" s="18">
        <v>0</v>
      </c>
      <c r="AA324" s="18">
        <v>0</v>
      </c>
      <c r="AB324" s="18"/>
      <c r="AC324" s="18"/>
      <c r="AD324" s="18">
        <v>50</v>
      </c>
      <c r="AE324" s="18">
        <v>156</v>
      </c>
      <c r="AF324" s="18">
        <v>234</v>
      </c>
      <c r="AG324" s="18" t="s">
        <v>41</v>
      </c>
      <c r="AH324" s="18" t="s">
        <v>41</v>
      </c>
      <c r="AI324" s="18" t="s">
        <v>816</v>
      </c>
      <c r="AJ324" s="18">
        <v>1</v>
      </c>
      <c r="AK324" s="18" t="s">
        <v>1478</v>
      </c>
      <c r="AL324" s="19" t="s">
        <v>41</v>
      </c>
    </row>
    <row r="325" spans="1:38">
      <c r="A325" s="17" t="s">
        <v>1222</v>
      </c>
      <c r="B325" s="18" t="s">
        <v>806</v>
      </c>
      <c r="C325" s="18">
        <v>2</v>
      </c>
      <c r="D325" s="18" t="s">
        <v>1223</v>
      </c>
      <c r="E325" s="18" t="s">
        <v>520</v>
      </c>
      <c r="F325" s="18" t="s">
        <v>41</v>
      </c>
      <c r="G325" s="18" t="s">
        <v>521</v>
      </c>
      <c r="H325" s="18">
        <v>31</v>
      </c>
      <c r="I325" s="18">
        <v>880</v>
      </c>
      <c r="J325" s="18">
        <v>6700</v>
      </c>
      <c r="K325" s="18">
        <v>15000</v>
      </c>
      <c r="L325" s="18">
        <v>0</v>
      </c>
      <c r="M325" s="18">
        <v>0</v>
      </c>
      <c r="N325" s="18">
        <v>0</v>
      </c>
      <c r="O325" s="18">
        <v>33</v>
      </c>
      <c r="P325" s="18">
        <v>1390</v>
      </c>
      <c r="Q325" s="18">
        <f>#REF!/#REF!</f>
        <v>1.5795454545454546</v>
      </c>
      <c r="R325" s="18"/>
      <c r="S325" s="18"/>
      <c r="T325" s="18"/>
      <c r="U325" s="18"/>
      <c r="V325" s="18"/>
      <c r="W325" s="18"/>
      <c r="X325" s="18"/>
      <c r="Y325" s="18"/>
      <c r="Z325" s="18">
        <v>106</v>
      </c>
      <c r="AA325" s="18">
        <v>1310</v>
      </c>
      <c r="AB325" s="18"/>
      <c r="AC325" s="18"/>
      <c r="AD325" s="18"/>
      <c r="AE325" s="18">
        <v>221</v>
      </c>
      <c r="AF325" s="18">
        <v>332</v>
      </c>
      <c r="AG325" s="18" t="s">
        <v>424</v>
      </c>
      <c r="AH325" s="18" t="s">
        <v>104</v>
      </c>
      <c r="AI325" s="18" t="s">
        <v>41</v>
      </c>
      <c r="AJ325" s="18">
        <v>1</v>
      </c>
      <c r="AK325" s="18" t="s">
        <v>1670</v>
      </c>
      <c r="AL325" s="19" t="s">
        <v>41</v>
      </c>
    </row>
    <row r="326" spans="1:38">
      <c r="A326" s="17" t="s">
        <v>530</v>
      </c>
      <c r="B326" s="18" t="s">
        <v>38</v>
      </c>
      <c r="C326" s="18">
        <v>1</v>
      </c>
      <c r="D326" s="18" t="s">
        <v>531</v>
      </c>
      <c r="E326" s="18" t="s">
        <v>531</v>
      </c>
      <c r="F326" s="18" t="s">
        <v>41</v>
      </c>
      <c r="G326" s="18" t="s">
        <v>376</v>
      </c>
      <c r="H326" s="18">
        <v>7</v>
      </c>
      <c r="I326" s="18">
        <v>7</v>
      </c>
      <c r="J326" s="18">
        <v>270</v>
      </c>
      <c r="K326" s="18">
        <v>100</v>
      </c>
      <c r="L326" s="18">
        <v>0</v>
      </c>
      <c r="M326" s="18">
        <v>0</v>
      </c>
      <c r="N326" s="18">
        <v>0</v>
      </c>
      <c r="O326" s="18">
        <v>0</v>
      </c>
      <c r="P326" s="18">
        <v>11</v>
      </c>
      <c r="Q326" s="18">
        <f>#REF!/#REF!</f>
        <v>1.5714285714285714</v>
      </c>
      <c r="R326" s="18"/>
      <c r="S326" s="18"/>
      <c r="T326" s="18"/>
      <c r="U326" s="18"/>
      <c r="V326" s="18"/>
      <c r="W326" s="18"/>
      <c r="X326" s="18"/>
      <c r="Y326" s="18">
        <v>1</v>
      </c>
      <c r="Z326" s="18">
        <v>445</v>
      </c>
      <c r="AA326" s="18">
        <v>0</v>
      </c>
      <c r="AB326" s="18"/>
      <c r="AC326" s="18"/>
      <c r="AD326" s="18"/>
      <c r="AE326" s="18">
        <v>83</v>
      </c>
      <c r="AF326" s="18">
        <v>125</v>
      </c>
      <c r="AG326" s="18" t="s">
        <v>109</v>
      </c>
      <c r="AH326" s="18" t="s">
        <v>41</v>
      </c>
      <c r="AI326" s="18" t="s">
        <v>41</v>
      </c>
      <c r="AJ326" s="18">
        <v>1</v>
      </c>
      <c r="AK326" s="18" t="s">
        <v>1397</v>
      </c>
      <c r="AL326" s="19" t="s">
        <v>41</v>
      </c>
    </row>
    <row r="327" spans="1:38">
      <c r="A327" s="17" t="s">
        <v>1054</v>
      </c>
      <c r="B327" s="18" t="s">
        <v>806</v>
      </c>
      <c r="C327" s="18">
        <v>1</v>
      </c>
      <c r="D327" s="18" t="s">
        <v>531</v>
      </c>
      <c r="E327" s="18" t="s">
        <v>531</v>
      </c>
      <c r="F327" s="18" t="s">
        <v>41</v>
      </c>
      <c r="G327" s="18" t="s">
        <v>376</v>
      </c>
      <c r="H327" s="18">
        <v>4</v>
      </c>
      <c r="I327" s="18">
        <v>7</v>
      </c>
      <c r="J327" s="18">
        <v>270</v>
      </c>
      <c r="K327" s="18">
        <v>100</v>
      </c>
      <c r="L327" s="18">
        <v>0</v>
      </c>
      <c r="M327" s="18">
        <v>0</v>
      </c>
      <c r="N327" s="18">
        <v>0</v>
      </c>
      <c r="O327" s="18">
        <v>0</v>
      </c>
      <c r="P327" s="18">
        <v>11</v>
      </c>
      <c r="Q327" s="18">
        <f>#REF!/#REF!</f>
        <v>1.5714285714285714</v>
      </c>
      <c r="R327" s="18"/>
      <c r="S327" s="18"/>
      <c r="T327" s="18"/>
      <c r="U327" s="18"/>
      <c r="V327" s="18"/>
      <c r="W327" s="18"/>
      <c r="X327" s="18"/>
      <c r="Y327" s="18">
        <v>1</v>
      </c>
      <c r="Z327" s="18">
        <v>445</v>
      </c>
      <c r="AA327" s="18">
        <v>0</v>
      </c>
      <c r="AB327" s="18"/>
      <c r="AC327" s="18"/>
      <c r="AD327" s="18"/>
      <c r="AE327" s="18">
        <v>83</v>
      </c>
      <c r="AF327" s="18">
        <v>125</v>
      </c>
      <c r="AG327" s="18" t="s">
        <v>109</v>
      </c>
      <c r="AH327" s="18" t="s">
        <v>41</v>
      </c>
      <c r="AI327" s="18" t="s">
        <v>41</v>
      </c>
      <c r="AJ327" s="18">
        <v>1</v>
      </c>
      <c r="AK327" s="18" t="s">
        <v>1587</v>
      </c>
      <c r="AL327" s="19" t="s">
        <v>41</v>
      </c>
    </row>
    <row r="328" spans="1:38">
      <c r="A328" s="17" t="s">
        <v>1084</v>
      </c>
      <c r="B328" s="18" t="s">
        <v>806</v>
      </c>
      <c r="C328" s="18">
        <v>1</v>
      </c>
      <c r="D328" s="18" t="s">
        <v>579</v>
      </c>
      <c r="E328" s="18" t="s">
        <v>580</v>
      </c>
      <c r="F328" s="18" t="s">
        <v>41</v>
      </c>
      <c r="G328" s="18" t="s">
        <v>581</v>
      </c>
      <c r="H328" s="18">
        <v>44</v>
      </c>
      <c r="I328" s="18">
        <v>1400</v>
      </c>
      <c r="J328" s="18">
        <v>5500</v>
      </c>
      <c r="K328" s="18">
        <v>11800</v>
      </c>
      <c r="L328" s="18">
        <v>0</v>
      </c>
      <c r="M328" s="18">
        <v>0</v>
      </c>
      <c r="N328" s="18">
        <v>200</v>
      </c>
      <c r="O328" s="18">
        <v>0</v>
      </c>
      <c r="P328" s="18">
        <v>2200</v>
      </c>
      <c r="Q328" s="18">
        <f>#REF!/#REF!</f>
        <v>1.5714285714285714</v>
      </c>
      <c r="R328" s="18"/>
      <c r="S328" s="18">
        <v>1</v>
      </c>
      <c r="T328" s="18"/>
      <c r="U328" s="18"/>
      <c r="V328" s="18"/>
      <c r="W328" s="18"/>
      <c r="X328" s="18"/>
      <c r="Y328" s="18">
        <v>1</v>
      </c>
      <c r="Z328" s="18">
        <v>0</v>
      </c>
      <c r="AA328" s="18">
        <v>0</v>
      </c>
      <c r="AB328" s="18"/>
      <c r="AC328" s="18">
        <v>800</v>
      </c>
      <c r="AD328" s="18"/>
      <c r="AE328" s="18">
        <v>169</v>
      </c>
      <c r="AF328" s="18">
        <v>254</v>
      </c>
      <c r="AG328" s="18" t="s">
        <v>41</v>
      </c>
      <c r="AH328" s="18" t="s">
        <v>41</v>
      </c>
      <c r="AI328" s="18" t="s">
        <v>1085</v>
      </c>
      <c r="AJ328" s="18">
        <v>1</v>
      </c>
      <c r="AK328" s="18" t="s">
        <v>1605</v>
      </c>
      <c r="AL328" s="19" t="s">
        <v>41</v>
      </c>
    </row>
    <row r="329" spans="1:38">
      <c r="A329" s="17" t="s">
        <v>826</v>
      </c>
      <c r="B329" s="18" t="s">
        <v>806</v>
      </c>
      <c r="C329" s="18">
        <v>2</v>
      </c>
      <c r="D329" s="18" t="s">
        <v>90</v>
      </c>
      <c r="E329" s="18" t="s">
        <v>91</v>
      </c>
      <c r="F329" s="18" t="s">
        <v>41</v>
      </c>
      <c r="G329" s="18" t="s">
        <v>92</v>
      </c>
      <c r="H329" s="18">
        <v>58</v>
      </c>
      <c r="I329" s="18">
        <v>2900</v>
      </c>
      <c r="J329" s="18">
        <v>16000</v>
      </c>
      <c r="K329" s="18">
        <v>16800</v>
      </c>
      <c r="L329" s="18">
        <v>0</v>
      </c>
      <c r="M329" s="18">
        <v>0</v>
      </c>
      <c r="N329" s="18">
        <v>300</v>
      </c>
      <c r="O329" s="18">
        <v>0</v>
      </c>
      <c r="P329" s="18">
        <v>4500</v>
      </c>
      <c r="Q329" s="18">
        <f>#REF!/#REF!</f>
        <v>1.5517241379310345</v>
      </c>
      <c r="R329" s="18"/>
      <c r="S329" s="18"/>
      <c r="T329" s="18"/>
      <c r="U329" s="18"/>
      <c r="V329" s="18"/>
      <c r="W329" s="18"/>
      <c r="X329" s="18"/>
      <c r="Y329" s="18">
        <v>1</v>
      </c>
      <c r="Z329" s="18">
        <v>0</v>
      </c>
      <c r="AA329" s="18">
        <v>0</v>
      </c>
      <c r="AB329" s="18"/>
      <c r="AC329" s="18"/>
      <c r="AD329" s="18"/>
      <c r="AE329" s="18">
        <v>289</v>
      </c>
      <c r="AF329" s="18">
        <v>433</v>
      </c>
      <c r="AG329" s="18" t="s">
        <v>41</v>
      </c>
      <c r="AH329" s="18" t="s">
        <v>41</v>
      </c>
      <c r="AI329" s="18" t="s">
        <v>827</v>
      </c>
      <c r="AJ329" s="18">
        <v>1</v>
      </c>
      <c r="AK329" s="18" t="s">
        <v>1485</v>
      </c>
      <c r="AL329" s="19" t="s">
        <v>41</v>
      </c>
    </row>
    <row r="330" spans="1:38">
      <c r="A330" s="17" t="s">
        <v>1065</v>
      </c>
      <c r="B330" s="18" t="s">
        <v>806</v>
      </c>
      <c r="C330" s="18">
        <v>2</v>
      </c>
      <c r="D330" s="18" t="s">
        <v>545</v>
      </c>
      <c r="E330" s="18" t="s">
        <v>546</v>
      </c>
      <c r="F330" s="18" t="s">
        <v>41</v>
      </c>
      <c r="G330" s="18" t="s">
        <v>547</v>
      </c>
      <c r="H330" s="18">
        <v>24</v>
      </c>
      <c r="I330" s="18">
        <v>370</v>
      </c>
      <c r="J330" s="18">
        <v>21000</v>
      </c>
      <c r="K330" s="18">
        <v>31300</v>
      </c>
      <c r="L330" s="18">
        <v>0</v>
      </c>
      <c r="M330" s="18">
        <v>0</v>
      </c>
      <c r="N330" s="18">
        <v>0</v>
      </c>
      <c r="O330" s="18">
        <v>0</v>
      </c>
      <c r="P330" s="18">
        <v>560</v>
      </c>
      <c r="Q330" s="18">
        <f>#REF!/#REF!</f>
        <v>1.5135135135135136</v>
      </c>
      <c r="R330" s="18"/>
      <c r="S330" s="18"/>
      <c r="T330" s="18"/>
      <c r="U330" s="18"/>
      <c r="V330" s="18"/>
      <c r="W330" s="18"/>
      <c r="X330" s="18"/>
      <c r="Y330" s="18">
        <v>1</v>
      </c>
      <c r="Z330" s="18">
        <v>0</v>
      </c>
      <c r="AA330" s="18">
        <v>0</v>
      </c>
      <c r="AB330" s="18"/>
      <c r="AC330" s="18"/>
      <c r="AD330" s="18"/>
      <c r="AE330" s="18">
        <v>273</v>
      </c>
      <c r="AF330" s="18">
        <v>410</v>
      </c>
      <c r="AG330" s="18" t="s">
        <v>41</v>
      </c>
      <c r="AH330" s="18" t="s">
        <v>41</v>
      </c>
      <c r="AI330" s="18" t="s">
        <v>41</v>
      </c>
      <c r="AJ330" s="18">
        <v>1</v>
      </c>
      <c r="AK330" s="18" t="s">
        <v>1594</v>
      </c>
      <c r="AL330" s="19" t="s">
        <v>41</v>
      </c>
    </row>
    <row r="331" spans="1:38">
      <c r="A331" s="17" t="s">
        <v>1204</v>
      </c>
      <c r="B331" s="18" t="s">
        <v>806</v>
      </c>
      <c r="C331" s="18">
        <v>2</v>
      </c>
      <c r="D331" s="18" t="s">
        <v>766</v>
      </c>
      <c r="E331" s="18" t="s">
        <v>546</v>
      </c>
      <c r="F331" s="18" t="s">
        <v>41</v>
      </c>
      <c r="G331" s="18" t="s">
        <v>547</v>
      </c>
      <c r="H331" s="18">
        <v>32</v>
      </c>
      <c r="I331" s="18">
        <v>370</v>
      </c>
      <c r="J331" s="18">
        <v>21000</v>
      </c>
      <c r="K331" s="18">
        <v>31300</v>
      </c>
      <c r="L331" s="18">
        <v>0</v>
      </c>
      <c r="M331" s="18">
        <v>0</v>
      </c>
      <c r="N331" s="18">
        <v>0</v>
      </c>
      <c r="O331" s="18">
        <v>0</v>
      </c>
      <c r="P331" s="18">
        <v>560</v>
      </c>
      <c r="Q331" s="18">
        <f>#REF!/#REF!</f>
        <v>1.5135135135135136</v>
      </c>
      <c r="R331" s="18"/>
      <c r="S331" s="18"/>
      <c r="T331" s="18"/>
      <c r="U331" s="18"/>
      <c r="V331" s="18"/>
      <c r="W331" s="18"/>
      <c r="X331" s="18"/>
      <c r="Y331" s="18">
        <v>1</v>
      </c>
      <c r="Z331" s="18">
        <v>0</v>
      </c>
      <c r="AA331" s="18">
        <v>0</v>
      </c>
      <c r="AB331" s="18"/>
      <c r="AC331" s="18"/>
      <c r="AD331" s="18"/>
      <c r="AE331" s="18">
        <v>143</v>
      </c>
      <c r="AF331" s="18">
        <v>215</v>
      </c>
      <c r="AG331" s="18" t="s">
        <v>41</v>
      </c>
      <c r="AH331" s="18" t="s">
        <v>41</v>
      </c>
      <c r="AI331" s="18" t="s">
        <v>41</v>
      </c>
      <c r="AJ331" s="18">
        <v>1</v>
      </c>
      <c r="AK331" s="18" t="s">
        <v>1661</v>
      </c>
      <c r="AL331" s="19" t="s">
        <v>41</v>
      </c>
    </row>
    <row r="332" spans="1:38">
      <c r="A332" s="17" t="s">
        <v>602</v>
      </c>
      <c r="B332" s="18" t="s">
        <v>38</v>
      </c>
      <c r="C332" s="18">
        <v>1</v>
      </c>
      <c r="D332" s="18" t="s">
        <v>603</v>
      </c>
      <c r="E332" s="18" t="s">
        <v>386</v>
      </c>
      <c r="F332" s="18" t="s">
        <v>41</v>
      </c>
      <c r="G332" s="18" t="s">
        <v>387</v>
      </c>
      <c r="H332" s="18">
        <v>80</v>
      </c>
      <c r="I332" s="18">
        <v>60</v>
      </c>
      <c r="J332" s="18">
        <v>630</v>
      </c>
      <c r="K332" s="18">
        <v>1140</v>
      </c>
      <c r="L332" s="18">
        <v>0</v>
      </c>
      <c r="M332" s="18">
        <v>0</v>
      </c>
      <c r="N332" s="18">
        <v>0</v>
      </c>
      <c r="O332" s="18">
        <v>0</v>
      </c>
      <c r="P332" s="18">
        <v>90</v>
      </c>
      <c r="Q332" s="18">
        <f>#REF!/#REF!</f>
        <v>1.5</v>
      </c>
      <c r="R332" s="18"/>
      <c r="S332" s="18"/>
      <c r="T332" s="18"/>
      <c r="U332" s="18"/>
      <c r="V332" s="18"/>
      <c r="W332" s="18"/>
      <c r="X332" s="18"/>
      <c r="Y332" s="18">
        <v>1</v>
      </c>
      <c r="Z332" s="18">
        <v>0</v>
      </c>
      <c r="AA332" s="18">
        <v>0</v>
      </c>
      <c r="AB332" s="18"/>
      <c r="AC332" s="18"/>
      <c r="AD332" s="18">
        <v>2100</v>
      </c>
      <c r="AE332" s="18">
        <v>680</v>
      </c>
      <c r="AF332" s="18">
        <v>1020</v>
      </c>
      <c r="AG332" s="18" t="s">
        <v>48</v>
      </c>
      <c r="AH332" s="18" t="s">
        <v>41</v>
      </c>
      <c r="AI332" s="18" t="s">
        <v>41</v>
      </c>
      <c r="AJ332" s="18">
        <v>1</v>
      </c>
      <c r="AK332" s="18" t="s">
        <v>1417</v>
      </c>
      <c r="AL332" s="19" t="s">
        <v>41</v>
      </c>
    </row>
    <row r="333" spans="1:38">
      <c r="A333" s="17" t="s">
        <v>1098</v>
      </c>
      <c r="B333" s="18" t="s">
        <v>806</v>
      </c>
      <c r="C333" s="18">
        <v>1</v>
      </c>
      <c r="D333" s="18" t="s">
        <v>603</v>
      </c>
      <c r="E333" s="18" t="s">
        <v>386</v>
      </c>
      <c r="F333" s="18" t="s">
        <v>41</v>
      </c>
      <c r="G333" s="18" t="s">
        <v>387</v>
      </c>
      <c r="H333" s="18">
        <v>78</v>
      </c>
      <c r="I333" s="18">
        <v>60</v>
      </c>
      <c r="J333" s="18">
        <v>630</v>
      </c>
      <c r="K333" s="18">
        <v>1140</v>
      </c>
      <c r="L333" s="18">
        <v>0</v>
      </c>
      <c r="M333" s="18">
        <v>0</v>
      </c>
      <c r="N333" s="18">
        <v>0</v>
      </c>
      <c r="O333" s="18">
        <v>0</v>
      </c>
      <c r="P333" s="18">
        <v>90</v>
      </c>
      <c r="Q333" s="18">
        <f>#REF!/#REF!</f>
        <v>1.5</v>
      </c>
      <c r="R333" s="18"/>
      <c r="S333" s="18"/>
      <c r="T333" s="18"/>
      <c r="U333" s="18"/>
      <c r="V333" s="18"/>
      <c r="W333" s="18"/>
      <c r="X333" s="18"/>
      <c r="Y333" s="18">
        <v>1</v>
      </c>
      <c r="Z333" s="18">
        <v>0</v>
      </c>
      <c r="AA333" s="18">
        <v>0</v>
      </c>
      <c r="AB333" s="18"/>
      <c r="AC333" s="18"/>
      <c r="AD333" s="18">
        <v>2100</v>
      </c>
      <c r="AE333" s="18">
        <v>680</v>
      </c>
      <c r="AF333" s="18">
        <v>1020</v>
      </c>
      <c r="AG333" s="18" t="s">
        <v>48</v>
      </c>
      <c r="AH333" s="18" t="s">
        <v>41</v>
      </c>
      <c r="AI333" s="18" t="s">
        <v>41</v>
      </c>
      <c r="AJ333" s="18">
        <v>1</v>
      </c>
      <c r="AK333" s="18" t="s">
        <v>1610</v>
      </c>
      <c r="AL333" s="19" t="s">
        <v>41</v>
      </c>
    </row>
    <row r="334" spans="1:38">
      <c r="A334" s="17" t="s">
        <v>89</v>
      </c>
      <c r="B334" s="18" t="s">
        <v>38</v>
      </c>
      <c r="C334" s="18">
        <v>2</v>
      </c>
      <c r="D334" s="18" t="s">
        <v>90</v>
      </c>
      <c r="E334" s="18" t="s">
        <v>91</v>
      </c>
      <c r="F334" s="18" t="s">
        <v>41</v>
      </c>
      <c r="G334" s="18" t="s">
        <v>92</v>
      </c>
      <c r="H334" s="18">
        <v>65</v>
      </c>
      <c r="I334" s="18">
        <v>2900</v>
      </c>
      <c r="J334" s="18">
        <v>15000</v>
      </c>
      <c r="K334" s="18">
        <v>16200</v>
      </c>
      <c r="L334" s="18">
        <v>0</v>
      </c>
      <c r="M334" s="18">
        <v>0</v>
      </c>
      <c r="N334" s="18">
        <v>300</v>
      </c>
      <c r="O334" s="18">
        <v>0</v>
      </c>
      <c r="P334" s="18">
        <v>4250</v>
      </c>
      <c r="Q334" s="18">
        <f>#REF!/#REF!</f>
        <v>1.4655172413793103</v>
      </c>
      <c r="R334" s="18"/>
      <c r="S334" s="18"/>
      <c r="T334" s="18"/>
      <c r="U334" s="18"/>
      <c r="V334" s="18"/>
      <c r="W334" s="18"/>
      <c r="X334" s="18"/>
      <c r="Y334" s="18">
        <v>1</v>
      </c>
      <c r="Z334" s="18">
        <v>0</v>
      </c>
      <c r="AA334" s="18">
        <v>0</v>
      </c>
      <c r="AB334" s="18"/>
      <c r="AC334" s="18"/>
      <c r="AD334" s="18"/>
      <c r="AE334" s="18">
        <v>286</v>
      </c>
      <c r="AF334" s="18">
        <v>429</v>
      </c>
      <c r="AG334" s="18" t="s">
        <v>41</v>
      </c>
      <c r="AH334" s="18" t="s">
        <v>41</v>
      </c>
      <c r="AI334" s="18" t="s">
        <v>93</v>
      </c>
      <c r="AJ334" s="18">
        <v>1</v>
      </c>
      <c r="AK334" s="18" t="s">
        <v>1283</v>
      </c>
      <c r="AL334" s="19" t="s">
        <v>41</v>
      </c>
    </row>
    <row r="335" spans="1:38">
      <c r="A335" s="17" t="s">
        <v>868</v>
      </c>
      <c r="B335" s="18" t="s">
        <v>806</v>
      </c>
      <c r="C335" s="18">
        <v>1</v>
      </c>
      <c r="D335" s="18" t="s">
        <v>869</v>
      </c>
      <c r="E335" s="18" t="s">
        <v>870</v>
      </c>
      <c r="F335" s="18" t="s">
        <v>41</v>
      </c>
      <c r="G335" s="18" t="s">
        <v>871</v>
      </c>
      <c r="H335" s="18">
        <v>5</v>
      </c>
      <c r="I335" s="18">
        <v>58</v>
      </c>
      <c r="J335" s="18">
        <v>1300</v>
      </c>
      <c r="K335" s="18">
        <v>2070</v>
      </c>
      <c r="L335" s="18">
        <v>0</v>
      </c>
      <c r="M335" s="18">
        <v>0</v>
      </c>
      <c r="N335" s="18">
        <v>0</v>
      </c>
      <c r="O335" s="18">
        <v>281</v>
      </c>
      <c r="P335" s="18">
        <v>83</v>
      </c>
      <c r="Q335" s="18">
        <f>#REF!/#REF!</f>
        <v>1.4310344827586208</v>
      </c>
      <c r="R335" s="18"/>
      <c r="S335" s="18"/>
      <c r="T335" s="18">
        <v>1</v>
      </c>
      <c r="U335" s="18"/>
      <c r="V335" s="18"/>
      <c r="W335" s="18"/>
      <c r="X335" s="18"/>
      <c r="Y335" s="18"/>
      <c r="Z335" s="18">
        <v>0</v>
      </c>
      <c r="AA335" s="18">
        <v>220</v>
      </c>
      <c r="AB335" s="18"/>
      <c r="AC335" s="18"/>
      <c r="AD335" s="18"/>
      <c r="AE335" s="18">
        <v>364</v>
      </c>
      <c r="AF335" s="18">
        <v>546</v>
      </c>
      <c r="AG335" s="18" t="s">
        <v>41</v>
      </c>
      <c r="AH335" s="18" t="s">
        <v>287</v>
      </c>
      <c r="AI335" s="18" t="s">
        <v>41</v>
      </c>
      <c r="AJ335" s="18">
        <v>1</v>
      </c>
      <c r="AK335" s="18" t="s">
        <v>1506</v>
      </c>
      <c r="AL335" s="19" t="s">
        <v>41</v>
      </c>
    </row>
    <row r="336" spans="1:38">
      <c r="A336" s="17" t="s">
        <v>214</v>
      </c>
      <c r="B336" s="18" t="s">
        <v>38</v>
      </c>
      <c r="C336" s="18">
        <v>1</v>
      </c>
      <c r="D336" s="18" t="s">
        <v>215</v>
      </c>
      <c r="E336" s="18" t="s">
        <v>216</v>
      </c>
      <c r="F336" s="18" t="s">
        <v>41</v>
      </c>
      <c r="G336" s="18" t="s">
        <v>217</v>
      </c>
      <c r="H336" s="18">
        <v>8</v>
      </c>
      <c r="I336" s="18">
        <v>110</v>
      </c>
      <c r="J336" s="18">
        <v>3000</v>
      </c>
      <c r="K336" s="18">
        <v>7960</v>
      </c>
      <c r="L336" s="18">
        <v>0</v>
      </c>
      <c r="M336" s="18">
        <v>5</v>
      </c>
      <c r="N336" s="18">
        <v>60</v>
      </c>
      <c r="O336" s="18">
        <v>208</v>
      </c>
      <c r="P336" s="18">
        <v>156</v>
      </c>
      <c r="Q336" s="18">
        <f>#REF!/#REF!</f>
        <v>1.4181818181818182</v>
      </c>
      <c r="R336" s="18"/>
      <c r="S336" s="18"/>
      <c r="T336" s="18">
        <v>1</v>
      </c>
      <c r="U336" s="18"/>
      <c r="V336" s="18"/>
      <c r="W336" s="18"/>
      <c r="X336" s="18"/>
      <c r="Y336" s="18"/>
      <c r="Z336" s="18">
        <v>0</v>
      </c>
      <c r="AA336" s="18">
        <v>0</v>
      </c>
      <c r="AB336" s="18"/>
      <c r="AC336" s="18"/>
      <c r="AD336" s="18"/>
      <c r="AE336" s="18">
        <v>390</v>
      </c>
      <c r="AF336" s="18">
        <v>585</v>
      </c>
      <c r="AG336" s="18" t="s">
        <v>41</v>
      </c>
      <c r="AH336" s="18" t="s">
        <v>41</v>
      </c>
      <c r="AI336" s="18" t="s">
        <v>218</v>
      </c>
      <c r="AJ336" s="18">
        <v>1</v>
      </c>
      <c r="AK336" s="18" t="s">
        <v>1315</v>
      </c>
      <c r="AL336" s="19" t="s">
        <v>41</v>
      </c>
    </row>
    <row r="337" spans="1:38">
      <c r="A337" s="17" t="s">
        <v>872</v>
      </c>
      <c r="B337" s="18" t="s">
        <v>806</v>
      </c>
      <c r="C337" s="18">
        <v>1</v>
      </c>
      <c r="D337" s="18" t="s">
        <v>215</v>
      </c>
      <c r="E337" s="18" t="s">
        <v>216</v>
      </c>
      <c r="F337" s="18" t="s">
        <v>41</v>
      </c>
      <c r="G337" s="18" t="s">
        <v>217</v>
      </c>
      <c r="H337" s="18">
        <v>8</v>
      </c>
      <c r="I337" s="18">
        <v>115</v>
      </c>
      <c r="J337" s="18">
        <v>3200</v>
      </c>
      <c r="K337" s="18">
        <v>8360</v>
      </c>
      <c r="L337" s="18">
        <v>0</v>
      </c>
      <c r="M337" s="18">
        <v>5</v>
      </c>
      <c r="N337" s="18">
        <v>60</v>
      </c>
      <c r="O337" s="18">
        <v>201</v>
      </c>
      <c r="P337" s="18">
        <v>161</v>
      </c>
      <c r="Q337" s="18">
        <f>#REF!/#REF!</f>
        <v>1.4</v>
      </c>
      <c r="R337" s="18"/>
      <c r="S337" s="18"/>
      <c r="T337" s="18">
        <v>1</v>
      </c>
      <c r="U337" s="18"/>
      <c r="V337" s="18"/>
      <c r="W337" s="18"/>
      <c r="X337" s="18"/>
      <c r="Y337" s="18"/>
      <c r="Z337" s="18">
        <v>0</v>
      </c>
      <c r="AA337" s="18">
        <v>0</v>
      </c>
      <c r="AB337" s="18"/>
      <c r="AC337" s="18"/>
      <c r="AD337" s="18">
        <v>50</v>
      </c>
      <c r="AE337" s="18">
        <v>351</v>
      </c>
      <c r="AF337" s="18">
        <v>527</v>
      </c>
      <c r="AG337" s="18" t="s">
        <v>41</v>
      </c>
      <c r="AH337" s="18" t="s">
        <v>41</v>
      </c>
      <c r="AI337" s="18" t="s">
        <v>873</v>
      </c>
      <c r="AJ337" s="18">
        <v>1</v>
      </c>
      <c r="AK337" s="18" t="s">
        <v>1507</v>
      </c>
      <c r="AL337" s="19" t="s">
        <v>41</v>
      </c>
    </row>
    <row r="338" spans="1:38">
      <c r="A338" s="17" t="s">
        <v>578</v>
      </c>
      <c r="B338" s="18" t="s">
        <v>38</v>
      </c>
      <c r="C338" s="18">
        <v>1</v>
      </c>
      <c r="D338" s="18" t="s">
        <v>579</v>
      </c>
      <c r="E338" s="18" t="s">
        <v>580</v>
      </c>
      <c r="F338" s="18" t="s">
        <v>41</v>
      </c>
      <c r="G338" s="18" t="s">
        <v>581</v>
      </c>
      <c r="H338" s="18">
        <v>32</v>
      </c>
      <c r="I338" s="18">
        <v>1450</v>
      </c>
      <c r="J338" s="18">
        <v>5000</v>
      </c>
      <c r="K338" s="18">
        <v>12000</v>
      </c>
      <c r="L338" s="18">
        <v>0</v>
      </c>
      <c r="M338" s="18">
        <v>0</v>
      </c>
      <c r="N338" s="18">
        <v>200</v>
      </c>
      <c r="O338" s="18">
        <v>0</v>
      </c>
      <c r="P338" s="18">
        <v>2000</v>
      </c>
      <c r="Q338" s="18">
        <f>#REF!/#REF!</f>
        <v>1.3793103448275863</v>
      </c>
      <c r="R338" s="18"/>
      <c r="S338" s="18">
        <v>1</v>
      </c>
      <c r="T338" s="18"/>
      <c r="U338" s="18"/>
      <c r="V338" s="18"/>
      <c r="W338" s="18"/>
      <c r="X338" s="18"/>
      <c r="Y338" s="18">
        <v>1</v>
      </c>
      <c r="Z338" s="18">
        <v>0</v>
      </c>
      <c r="AA338" s="18">
        <v>0</v>
      </c>
      <c r="AB338" s="18"/>
      <c r="AC338" s="18">
        <v>600</v>
      </c>
      <c r="AD338" s="18">
        <v>750</v>
      </c>
      <c r="AE338" s="18">
        <v>169</v>
      </c>
      <c r="AF338" s="18">
        <v>254</v>
      </c>
      <c r="AG338" s="18" t="s">
        <v>41</v>
      </c>
      <c r="AH338" s="18" t="s">
        <v>41</v>
      </c>
      <c r="AI338" s="18" t="s">
        <v>582</v>
      </c>
      <c r="AJ338" s="18">
        <v>1</v>
      </c>
      <c r="AK338" s="18" t="s">
        <v>1412</v>
      </c>
      <c r="AL338" s="19" t="s">
        <v>41</v>
      </c>
    </row>
    <row r="339" spans="1:38">
      <c r="A339" s="17" t="s">
        <v>241</v>
      </c>
      <c r="B339" s="18" t="s">
        <v>38</v>
      </c>
      <c r="C339" s="18">
        <v>1</v>
      </c>
      <c r="D339" s="18" t="s">
        <v>242</v>
      </c>
      <c r="E339" s="18" t="s">
        <v>243</v>
      </c>
      <c r="F339" s="18" t="s">
        <v>41</v>
      </c>
      <c r="G339" s="18" t="s">
        <v>241</v>
      </c>
      <c r="H339" s="18">
        <v>64</v>
      </c>
      <c r="I339" s="18">
        <v>2700</v>
      </c>
      <c r="J339" s="18">
        <v>26000</v>
      </c>
      <c r="K339" s="18">
        <v>75000</v>
      </c>
      <c r="L339" s="18">
        <v>2</v>
      </c>
      <c r="M339" s="18">
        <v>25</v>
      </c>
      <c r="N339" s="18">
        <v>300</v>
      </c>
      <c r="O339" s="18">
        <v>38</v>
      </c>
      <c r="P339" s="18">
        <v>3700</v>
      </c>
      <c r="Q339" s="18">
        <f>#REF!/#REF!</f>
        <v>1.3703703703703705</v>
      </c>
      <c r="R339" s="18">
        <v>1</v>
      </c>
      <c r="S339" s="18"/>
      <c r="T339" s="18"/>
      <c r="U339" s="18"/>
      <c r="V339" s="18"/>
      <c r="W339" s="18"/>
      <c r="X339" s="18"/>
      <c r="Y339" s="18"/>
      <c r="Z339" s="18">
        <v>111498</v>
      </c>
      <c r="AA339" s="18">
        <v>300</v>
      </c>
      <c r="AB339" s="18"/>
      <c r="AC339" s="18">
        <v>450</v>
      </c>
      <c r="AD339" s="18">
        <v>700</v>
      </c>
      <c r="AE339" s="18">
        <v>450</v>
      </c>
      <c r="AF339" s="18">
        <v>675</v>
      </c>
      <c r="AG339" s="18" t="s">
        <v>244</v>
      </c>
      <c r="AH339" s="18" t="s">
        <v>245</v>
      </c>
      <c r="AI339" s="18" t="s">
        <v>246</v>
      </c>
      <c r="AJ339" s="18">
        <v>0</v>
      </c>
      <c r="AK339" s="18" t="s">
        <v>247</v>
      </c>
      <c r="AL339" s="19" t="s">
        <v>41</v>
      </c>
    </row>
    <row r="340" spans="1:38">
      <c r="A340" s="17" t="s">
        <v>885</v>
      </c>
      <c r="B340" s="18" t="s">
        <v>806</v>
      </c>
      <c r="C340" s="18">
        <v>1</v>
      </c>
      <c r="D340" s="18" t="s">
        <v>886</v>
      </c>
      <c r="E340" s="18" t="s">
        <v>243</v>
      </c>
      <c r="F340" s="18" t="s">
        <v>41</v>
      </c>
      <c r="G340" s="18" t="s">
        <v>885</v>
      </c>
      <c r="H340" s="18">
        <v>64</v>
      </c>
      <c r="I340" s="18">
        <v>2700</v>
      </c>
      <c r="J340" s="18">
        <v>26000</v>
      </c>
      <c r="K340" s="18">
        <v>75000</v>
      </c>
      <c r="L340" s="18">
        <v>2</v>
      </c>
      <c r="M340" s="18">
        <v>25</v>
      </c>
      <c r="N340" s="18">
        <v>300</v>
      </c>
      <c r="O340" s="18">
        <v>38</v>
      </c>
      <c r="P340" s="18">
        <v>3700</v>
      </c>
      <c r="Q340" s="18">
        <f>#REF!/#REF!</f>
        <v>1.3703703703703705</v>
      </c>
      <c r="R340" s="18">
        <v>1</v>
      </c>
      <c r="S340" s="18"/>
      <c r="T340" s="18"/>
      <c r="U340" s="18"/>
      <c r="V340" s="18"/>
      <c r="W340" s="18"/>
      <c r="X340" s="18"/>
      <c r="Y340" s="18"/>
      <c r="Z340" s="18">
        <v>111498</v>
      </c>
      <c r="AA340" s="18">
        <v>300</v>
      </c>
      <c r="AB340" s="18"/>
      <c r="AC340" s="18">
        <v>450</v>
      </c>
      <c r="AD340" s="18">
        <v>700</v>
      </c>
      <c r="AE340" s="18">
        <v>450</v>
      </c>
      <c r="AF340" s="18">
        <v>675</v>
      </c>
      <c r="AG340" s="18" t="s">
        <v>244</v>
      </c>
      <c r="AH340" s="18" t="s">
        <v>245</v>
      </c>
      <c r="AI340" s="18" t="s">
        <v>887</v>
      </c>
      <c r="AJ340" s="18">
        <v>0</v>
      </c>
      <c r="AK340" s="18" t="s">
        <v>888</v>
      </c>
      <c r="AL340" s="19" t="s">
        <v>41</v>
      </c>
    </row>
    <row r="341" spans="1:38">
      <c r="A341" s="17" t="s">
        <v>518</v>
      </c>
      <c r="B341" s="18" t="s">
        <v>38</v>
      </c>
      <c r="C341" s="18">
        <v>2</v>
      </c>
      <c r="D341" s="18" t="s">
        <v>519</v>
      </c>
      <c r="E341" s="18" t="s">
        <v>520</v>
      </c>
      <c r="F341" s="18" t="s">
        <v>41</v>
      </c>
      <c r="G341" s="18" t="s">
        <v>521</v>
      </c>
      <c r="H341" s="18">
        <v>28</v>
      </c>
      <c r="I341" s="18">
        <v>920</v>
      </c>
      <c r="J341" s="18">
        <v>6500</v>
      </c>
      <c r="K341" s="18">
        <v>15500</v>
      </c>
      <c r="L341" s="18">
        <v>0</v>
      </c>
      <c r="M341" s="18">
        <v>0</v>
      </c>
      <c r="N341" s="18">
        <v>0</v>
      </c>
      <c r="O341" s="18">
        <v>33</v>
      </c>
      <c r="P341" s="18">
        <v>1220</v>
      </c>
      <c r="Q341" s="18">
        <f>#REF!/#REF!</f>
        <v>1.326086956521739</v>
      </c>
      <c r="R341" s="18"/>
      <c r="S341" s="18"/>
      <c r="T341" s="18"/>
      <c r="U341" s="18"/>
      <c r="V341" s="18"/>
      <c r="W341" s="18"/>
      <c r="X341" s="18"/>
      <c r="Y341" s="18"/>
      <c r="Z341" s="18">
        <v>106</v>
      </c>
      <c r="AA341" s="18">
        <v>1300</v>
      </c>
      <c r="AB341" s="18"/>
      <c r="AC341" s="18"/>
      <c r="AD341" s="18"/>
      <c r="AE341" s="18">
        <v>247</v>
      </c>
      <c r="AF341" s="18">
        <v>371</v>
      </c>
      <c r="AG341" s="18" t="s">
        <v>424</v>
      </c>
      <c r="AH341" s="18" t="s">
        <v>104</v>
      </c>
      <c r="AI341" s="18" t="s">
        <v>41</v>
      </c>
      <c r="AJ341" s="18">
        <v>1</v>
      </c>
      <c r="AK341" s="18" t="s">
        <v>1394</v>
      </c>
      <c r="AL341" s="19" t="s">
        <v>41</v>
      </c>
    </row>
    <row r="342" spans="1:38">
      <c r="A342" s="17" t="s">
        <v>1040</v>
      </c>
      <c r="B342" s="18" t="s">
        <v>806</v>
      </c>
      <c r="C342" s="18">
        <v>2</v>
      </c>
      <c r="D342" s="18" t="s">
        <v>1041</v>
      </c>
      <c r="E342" s="18" t="s">
        <v>1042</v>
      </c>
      <c r="F342" s="18" t="s">
        <v>41</v>
      </c>
      <c r="G342" s="18" t="s">
        <v>1040</v>
      </c>
      <c r="H342" s="18">
        <v>49</v>
      </c>
      <c r="I342" s="18">
        <v>1200</v>
      </c>
      <c r="J342" s="18">
        <v>15500</v>
      </c>
      <c r="K342" s="18">
        <v>17100</v>
      </c>
      <c r="L342" s="18">
        <v>0</v>
      </c>
      <c r="M342" s="18">
        <v>10</v>
      </c>
      <c r="N342" s="18">
        <v>200</v>
      </c>
      <c r="O342" s="18">
        <v>75</v>
      </c>
      <c r="P342" s="18">
        <v>1560</v>
      </c>
      <c r="Q342" s="18">
        <f>#REF!/#REF!</f>
        <v>1.3</v>
      </c>
      <c r="R342" s="18">
        <v>1</v>
      </c>
      <c r="S342" s="18"/>
      <c r="T342" s="18"/>
      <c r="U342" s="18"/>
      <c r="V342" s="18"/>
      <c r="W342" s="18"/>
      <c r="X342" s="18"/>
      <c r="Y342" s="18"/>
      <c r="Z342" s="18">
        <v>200</v>
      </c>
      <c r="AA342" s="18">
        <v>300</v>
      </c>
      <c r="AB342" s="18">
        <v>150</v>
      </c>
      <c r="AC342" s="18"/>
      <c r="AD342" s="18">
        <v>900</v>
      </c>
      <c r="AE342" s="18">
        <v>600</v>
      </c>
      <c r="AF342" s="18">
        <v>900</v>
      </c>
      <c r="AG342" s="18" t="s">
        <v>148</v>
      </c>
      <c r="AH342" s="18" t="s">
        <v>158</v>
      </c>
      <c r="AI342" s="18" t="s">
        <v>1580</v>
      </c>
      <c r="AJ342" s="18">
        <v>1</v>
      </c>
      <c r="AK342" s="18" t="s">
        <v>1581</v>
      </c>
      <c r="AL342" s="19" t="s">
        <v>41</v>
      </c>
    </row>
    <row r="343" spans="1:38">
      <c r="A343" s="17" t="s">
        <v>877</v>
      </c>
      <c r="B343" s="18" t="s">
        <v>806</v>
      </c>
      <c r="C343" s="18">
        <v>3</v>
      </c>
      <c r="D343" s="18" t="s">
        <v>878</v>
      </c>
      <c r="E343" s="18" t="s">
        <v>879</v>
      </c>
      <c r="F343" s="18" t="s">
        <v>41</v>
      </c>
      <c r="G343" s="18" t="s">
        <v>880</v>
      </c>
      <c r="H343" s="18">
        <v>69</v>
      </c>
      <c r="I343" s="18">
        <v>4900</v>
      </c>
      <c r="J343" s="18">
        <v>80000</v>
      </c>
      <c r="K343" s="18">
        <v>127000</v>
      </c>
      <c r="L343" s="18">
        <v>0</v>
      </c>
      <c r="M343" s="18">
        <v>0</v>
      </c>
      <c r="N343" s="18">
        <v>0</v>
      </c>
      <c r="O343" s="18">
        <v>48</v>
      </c>
      <c r="P343" s="18">
        <v>6100</v>
      </c>
      <c r="Q343" s="18">
        <f>#REF!/#REF!</f>
        <v>1.2448979591836735</v>
      </c>
      <c r="R343" s="18"/>
      <c r="S343" s="18"/>
      <c r="T343" s="18"/>
      <c r="U343" s="18"/>
      <c r="V343" s="18"/>
      <c r="W343" s="18"/>
      <c r="X343" s="18"/>
      <c r="Y343" s="18"/>
      <c r="Z343" s="18">
        <v>600</v>
      </c>
      <c r="AA343" s="18">
        <v>1350</v>
      </c>
      <c r="AB343" s="18"/>
      <c r="AC343" s="18"/>
      <c r="AD343" s="18"/>
      <c r="AE343" s="18">
        <v>700</v>
      </c>
      <c r="AF343" s="18">
        <v>1050</v>
      </c>
      <c r="AG343" s="18" t="s">
        <v>41</v>
      </c>
      <c r="AH343" s="18" t="s">
        <v>88</v>
      </c>
      <c r="AI343" s="18" t="s">
        <v>41</v>
      </c>
      <c r="AJ343" s="18">
        <v>1</v>
      </c>
      <c r="AK343" s="18" t="s">
        <v>1509</v>
      </c>
      <c r="AL343" s="19" t="s">
        <v>41</v>
      </c>
    </row>
    <row r="344" spans="1:38">
      <c r="A344" s="17" t="s">
        <v>810</v>
      </c>
      <c r="B344" s="18" t="s">
        <v>806</v>
      </c>
      <c r="C344" s="18">
        <v>2</v>
      </c>
      <c r="D344" s="18" t="s">
        <v>45</v>
      </c>
      <c r="E344" s="18" t="s">
        <v>46</v>
      </c>
      <c r="F344" s="18" t="s">
        <v>41</v>
      </c>
      <c r="G344" s="18" t="s">
        <v>47</v>
      </c>
      <c r="H344" s="18">
        <v>51</v>
      </c>
      <c r="I344" s="18">
        <v>3200</v>
      </c>
      <c r="J344" s="18">
        <v>28000</v>
      </c>
      <c r="K344" s="18">
        <v>20700</v>
      </c>
      <c r="L344" s="18">
        <v>0</v>
      </c>
      <c r="M344" s="18">
        <v>0</v>
      </c>
      <c r="N344" s="18">
        <v>200</v>
      </c>
      <c r="O344" s="18">
        <v>0</v>
      </c>
      <c r="P344" s="18">
        <v>3900</v>
      </c>
      <c r="Q344" s="18">
        <f>#REF!/#REF!</f>
        <v>1.21875</v>
      </c>
      <c r="R344" s="18"/>
      <c r="S344" s="18"/>
      <c r="T344" s="18"/>
      <c r="U344" s="18"/>
      <c r="V344" s="18"/>
      <c r="W344" s="18"/>
      <c r="X344" s="18"/>
      <c r="Y344" s="18">
        <v>1</v>
      </c>
      <c r="Z344" s="18">
        <v>0</v>
      </c>
      <c r="AA344" s="18">
        <v>0</v>
      </c>
      <c r="AB344" s="18"/>
      <c r="AC344" s="18"/>
      <c r="AD344" s="18">
        <v>1000</v>
      </c>
      <c r="AE344" s="18">
        <v>306</v>
      </c>
      <c r="AF344" s="18">
        <v>458</v>
      </c>
      <c r="AG344" s="18" t="s">
        <v>48</v>
      </c>
      <c r="AH344" s="18" t="s">
        <v>41</v>
      </c>
      <c r="AI344" s="18" t="s">
        <v>811</v>
      </c>
      <c r="AJ344" s="18">
        <v>1</v>
      </c>
      <c r="AK344" s="18" t="s">
        <v>1474</v>
      </c>
      <c r="AL344" s="19" t="s">
        <v>41</v>
      </c>
    </row>
    <row r="345" spans="1:38">
      <c r="A345" s="17" t="s">
        <v>395</v>
      </c>
      <c r="B345" s="18" t="s">
        <v>38</v>
      </c>
      <c r="C345" s="18">
        <v>2</v>
      </c>
      <c r="D345" s="18" t="s">
        <v>396</v>
      </c>
      <c r="E345" s="18" t="s">
        <v>397</v>
      </c>
      <c r="F345" s="18" t="s">
        <v>41</v>
      </c>
      <c r="G345" s="18" t="s">
        <v>398</v>
      </c>
      <c r="H345" s="18">
        <v>35</v>
      </c>
      <c r="I345" s="18">
        <v>3000</v>
      </c>
      <c r="J345" s="18">
        <v>54000</v>
      </c>
      <c r="K345" s="18">
        <v>55000</v>
      </c>
      <c r="L345" s="18">
        <v>0</v>
      </c>
      <c r="M345" s="18">
        <v>0</v>
      </c>
      <c r="N345" s="18">
        <v>0</v>
      </c>
      <c r="O345" s="18">
        <v>0</v>
      </c>
      <c r="P345" s="18">
        <v>3550</v>
      </c>
      <c r="Q345" s="18">
        <f>#REF!/#REF!</f>
        <v>1.1833333333333333</v>
      </c>
      <c r="R345" s="18"/>
      <c r="S345" s="18"/>
      <c r="T345" s="18"/>
      <c r="U345" s="18"/>
      <c r="V345" s="18"/>
      <c r="W345" s="18"/>
      <c r="X345" s="18"/>
      <c r="Y345" s="18">
        <v>1</v>
      </c>
      <c r="Z345" s="18">
        <v>1</v>
      </c>
      <c r="AA345" s="18">
        <v>10</v>
      </c>
      <c r="AB345" s="18"/>
      <c r="AC345" s="18"/>
      <c r="AD345" s="18"/>
      <c r="AE345" s="18">
        <v>273</v>
      </c>
      <c r="AF345" s="18">
        <v>410</v>
      </c>
      <c r="AG345" s="18" t="s">
        <v>398</v>
      </c>
      <c r="AH345" s="18" t="s">
        <v>399</v>
      </c>
      <c r="AI345" s="18" t="s">
        <v>41</v>
      </c>
      <c r="AJ345" s="18">
        <v>1</v>
      </c>
      <c r="AK345" s="18" t="s">
        <v>1359</v>
      </c>
      <c r="AL345" s="19" t="s">
        <v>41</v>
      </c>
    </row>
    <row r="346" spans="1:38">
      <c r="A346" s="17" t="s">
        <v>44</v>
      </c>
      <c r="B346" s="18" t="s">
        <v>38</v>
      </c>
      <c r="C346" s="18">
        <v>2</v>
      </c>
      <c r="D346" s="18" t="s">
        <v>45</v>
      </c>
      <c r="E346" s="18" t="s">
        <v>46</v>
      </c>
      <c r="F346" s="18" t="s">
        <v>41</v>
      </c>
      <c r="G346" s="18" t="s">
        <v>47</v>
      </c>
      <c r="H346" s="18">
        <v>85</v>
      </c>
      <c r="I346" s="18">
        <v>3200</v>
      </c>
      <c r="J346" s="18">
        <v>29000</v>
      </c>
      <c r="K346" s="18">
        <v>20900</v>
      </c>
      <c r="L346" s="18">
        <v>0</v>
      </c>
      <c r="M346" s="18">
        <v>0</v>
      </c>
      <c r="N346" s="18">
        <v>200</v>
      </c>
      <c r="O346" s="18">
        <v>0</v>
      </c>
      <c r="P346" s="18">
        <v>3750</v>
      </c>
      <c r="Q346" s="18">
        <f>#REF!/#REF!</f>
        <v>1.171875</v>
      </c>
      <c r="R346" s="18"/>
      <c r="S346" s="18"/>
      <c r="T346" s="18"/>
      <c r="U346" s="18"/>
      <c r="V346" s="18"/>
      <c r="W346" s="18"/>
      <c r="X346" s="18"/>
      <c r="Y346" s="18">
        <v>1</v>
      </c>
      <c r="Z346" s="18">
        <v>0</v>
      </c>
      <c r="AA346" s="18">
        <v>0</v>
      </c>
      <c r="AB346" s="18"/>
      <c r="AC346" s="18"/>
      <c r="AD346" s="18">
        <v>1000</v>
      </c>
      <c r="AE346" s="18">
        <v>312</v>
      </c>
      <c r="AF346" s="18">
        <v>468</v>
      </c>
      <c r="AG346" s="18" t="s">
        <v>48</v>
      </c>
      <c r="AH346" s="18" t="s">
        <v>41</v>
      </c>
      <c r="AI346" s="18" t="s">
        <v>49</v>
      </c>
      <c r="AJ346" s="18">
        <v>1</v>
      </c>
      <c r="AK346" s="18" t="s">
        <v>1273</v>
      </c>
      <c r="AL346" s="19" t="s">
        <v>41</v>
      </c>
    </row>
    <row r="347" spans="1:38">
      <c r="A347" s="17" t="s">
        <v>544</v>
      </c>
      <c r="B347" s="18" t="s">
        <v>38</v>
      </c>
      <c r="C347" s="18">
        <v>2</v>
      </c>
      <c r="D347" s="18" t="s">
        <v>545</v>
      </c>
      <c r="E347" s="18" t="s">
        <v>546</v>
      </c>
      <c r="F347" s="18" t="s">
        <v>41</v>
      </c>
      <c r="G347" s="18" t="s">
        <v>547</v>
      </c>
      <c r="H347" s="18">
        <v>28</v>
      </c>
      <c r="I347" s="18">
        <v>380</v>
      </c>
      <c r="J347" s="18">
        <v>21000</v>
      </c>
      <c r="K347" s="18">
        <v>35000</v>
      </c>
      <c r="L347" s="18">
        <v>0</v>
      </c>
      <c r="M347" s="18">
        <v>0</v>
      </c>
      <c r="N347" s="18">
        <v>0</v>
      </c>
      <c r="O347" s="18">
        <v>0</v>
      </c>
      <c r="P347" s="18">
        <v>445</v>
      </c>
      <c r="Q347" s="18">
        <f>#REF!/#REF!</f>
        <v>1.1710526315789473</v>
      </c>
      <c r="R347" s="18"/>
      <c r="S347" s="18"/>
      <c r="T347" s="18"/>
      <c r="U347" s="18"/>
      <c r="V347" s="18"/>
      <c r="W347" s="18"/>
      <c r="X347" s="18"/>
      <c r="Y347" s="18">
        <v>1</v>
      </c>
      <c r="Z347" s="18">
        <v>0</v>
      </c>
      <c r="AA347" s="18">
        <v>0</v>
      </c>
      <c r="AB347" s="18"/>
      <c r="AC347" s="18"/>
      <c r="AD347" s="18"/>
      <c r="AE347" s="18">
        <v>273</v>
      </c>
      <c r="AF347" s="18">
        <v>410</v>
      </c>
      <c r="AG347" s="18" t="s">
        <v>41</v>
      </c>
      <c r="AH347" s="18" t="s">
        <v>41</v>
      </c>
      <c r="AI347" s="18" t="s">
        <v>41</v>
      </c>
      <c r="AJ347" s="18">
        <v>1</v>
      </c>
      <c r="AK347" s="18" t="s">
        <v>1403</v>
      </c>
      <c r="AL347" s="19" t="s">
        <v>41</v>
      </c>
    </row>
    <row r="348" spans="1:38">
      <c r="A348" s="17" t="s">
        <v>765</v>
      </c>
      <c r="B348" s="18" t="s">
        <v>38</v>
      </c>
      <c r="C348" s="18">
        <v>2</v>
      </c>
      <c r="D348" s="18" t="s">
        <v>766</v>
      </c>
      <c r="E348" s="18" t="s">
        <v>546</v>
      </c>
      <c r="F348" s="18" t="s">
        <v>41</v>
      </c>
      <c r="G348" s="18" t="s">
        <v>547</v>
      </c>
      <c r="H348" s="18">
        <v>33</v>
      </c>
      <c r="I348" s="18">
        <v>380</v>
      </c>
      <c r="J348" s="18">
        <v>21000</v>
      </c>
      <c r="K348" s="18">
        <v>35000</v>
      </c>
      <c r="L348" s="18">
        <v>0</v>
      </c>
      <c r="M348" s="18">
        <v>0</v>
      </c>
      <c r="N348" s="18">
        <v>0</v>
      </c>
      <c r="O348" s="18">
        <v>0</v>
      </c>
      <c r="P348" s="18">
        <v>445</v>
      </c>
      <c r="Q348" s="18">
        <f>#REF!/#REF!</f>
        <v>1.1710526315789473</v>
      </c>
      <c r="R348" s="18"/>
      <c r="S348" s="18"/>
      <c r="T348" s="18"/>
      <c r="U348" s="18"/>
      <c r="V348" s="18"/>
      <c r="W348" s="18"/>
      <c r="X348" s="18"/>
      <c r="Y348" s="18">
        <v>1</v>
      </c>
      <c r="Z348" s="18">
        <v>0</v>
      </c>
      <c r="AA348" s="18">
        <v>0</v>
      </c>
      <c r="AB348" s="18"/>
      <c r="AC348" s="18"/>
      <c r="AD348" s="18"/>
      <c r="AE348" s="18">
        <v>156</v>
      </c>
      <c r="AF348" s="18">
        <v>234</v>
      </c>
      <c r="AG348" s="18" t="s">
        <v>41</v>
      </c>
      <c r="AH348" s="18" t="s">
        <v>41</v>
      </c>
      <c r="AI348" s="18" t="s">
        <v>41</v>
      </c>
      <c r="AJ348" s="18">
        <v>1</v>
      </c>
      <c r="AK348" s="18" t="s">
        <v>1462</v>
      </c>
      <c r="AL348" s="19" t="s">
        <v>41</v>
      </c>
    </row>
    <row r="349" spans="1:38">
      <c r="A349" s="17" t="s">
        <v>970</v>
      </c>
      <c r="B349" s="18" t="s">
        <v>806</v>
      </c>
      <c r="C349" s="18">
        <v>2</v>
      </c>
      <c r="D349" s="18" t="s">
        <v>393</v>
      </c>
      <c r="E349" s="18" t="s">
        <v>971</v>
      </c>
      <c r="F349" s="18" t="s">
        <v>41</v>
      </c>
      <c r="G349" s="18" t="s">
        <v>234</v>
      </c>
      <c r="H349" s="18">
        <v>70</v>
      </c>
      <c r="I349" s="18">
        <v>4500</v>
      </c>
      <c r="J349" s="18">
        <v>26000</v>
      </c>
      <c r="K349" s="18">
        <v>75400</v>
      </c>
      <c r="L349" s="18">
        <v>0</v>
      </c>
      <c r="M349" s="18">
        <v>1100</v>
      </c>
      <c r="N349" s="18">
        <v>0</v>
      </c>
      <c r="O349" s="18">
        <v>0</v>
      </c>
      <c r="P349" s="18">
        <v>5000</v>
      </c>
      <c r="Q349" s="18">
        <f>#REF!/#REF!</f>
        <v>1.1111111111111112</v>
      </c>
      <c r="R349" s="18"/>
      <c r="S349" s="18"/>
      <c r="T349" s="18"/>
      <c r="U349" s="18"/>
      <c r="V349" s="18"/>
      <c r="W349" s="18"/>
      <c r="X349" s="18"/>
      <c r="Y349" s="18">
        <v>1</v>
      </c>
      <c r="Z349" s="18">
        <v>0</v>
      </c>
      <c r="AA349" s="18">
        <v>0</v>
      </c>
      <c r="AB349" s="18"/>
      <c r="AC349" s="18"/>
      <c r="AD349" s="18"/>
      <c r="AE349" s="18">
        <v>273</v>
      </c>
      <c r="AF349" s="18">
        <v>410</v>
      </c>
      <c r="AG349" s="18" t="s">
        <v>41</v>
      </c>
      <c r="AH349" s="18" t="s">
        <v>41</v>
      </c>
      <c r="AI349" s="18" t="s">
        <v>41</v>
      </c>
      <c r="AJ349" s="18">
        <v>1</v>
      </c>
      <c r="AK349" s="18" t="s">
        <v>1549</v>
      </c>
      <c r="AL349" s="19" t="s">
        <v>41</v>
      </c>
    </row>
    <row r="350" spans="1:38">
      <c r="A350" s="17" t="s">
        <v>978</v>
      </c>
      <c r="B350" s="18" t="s">
        <v>806</v>
      </c>
      <c r="C350" s="18">
        <v>2</v>
      </c>
      <c r="D350" s="18" t="s">
        <v>979</v>
      </c>
      <c r="E350" s="18" t="s">
        <v>397</v>
      </c>
      <c r="F350" s="18" t="s">
        <v>41</v>
      </c>
      <c r="G350" s="18" t="s">
        <v>398</v>
      </c>
      <c r="H350" s="18">
        <v>52</v>
      </c>
      <c r="I350" s="18">
        <v>3200</v>
      </c>
      <c r="J350" s="18">
        <v>55000</v>
      </c>
      <c r="K350" s="18">
        <v>55000</v>
      </c>
      <c r="L350" s="18">
        <v>0</v>
      </c>
      <c r="M350" s="18">
        <v>0</v>
      </c>
      <c r="N350" s="18">
        <v>0</v>
      </c>
      <c r="O350" s="18">
        <v>0</v>
      </c>
      <c r="P350" s="18">
        <v>3550</v>
      </c>
      <c r="Q350" s="18">
        <f>#REF!/#REF!</f>
        <v>1.109375</v>
      </c>
      <c r="R350" s="18"/>
      <c r="S350" s="18"/>
      <c r="T350" s="18"/>
      <c r="U350" s="18"/>
      <c r="V350" s="18"/>
      <c r="W350" s="18"/>
      <c r="X350" s="18"/>
      <c r="Y350" s="18">
        <v>1</v>
      </c>
      <c r="Z350" s="18">
        <v>1</v>
      </c>
      <c r="AA350" s="18">
        <v>10</v>
      </c>
      <c r="AB350" s="18"/>
      <c r="AC350" s="18"/>
      <c r="AD350" s="18"/>
      <c r="AE350" s="18">
        <v>273</v>
      </c>
      <c r="AF350" s="18">
        <v>410</v>
      </c>
      <c r="AG350" s="18" t="s">
        <v>398</v>
      </c>
      <c r="AH350" s="18" t="s">
        <v>399</v>
      </c>
      <c r="AI350" s="18" t="s">
        <v>41</v>
      </c>
      <c r="AJ350" s="18">
        <v>1</v>
      </c>
      <c r="AK350" s="18" t="s">
        <v>1553</v>
      </c>
      <c r="AL350" s="19" t="s">
        <v>41</v>
      </c>
    </row>
    <row r="351" spans="1:38">
      <c r="A351" s="17" t="s">
        <v>1200</v>
      </c>
      <c r="B351" s="18" t="s">
        <v>806</v>
      </c>
      <c r="C351" s="18">
        <v>2</v>
      </c>
      <c r="D351" s="18" t="s">
        <v>760</v>
      </c>
      <c r="E351" s="18" t="s">
        <v>1201</v>
      </c>
      <c r="F351" s="18" t="s">
        <v>41</v>
      </c>
      <c r="G351" s="18" t="s">
        <v>234</v>
      </c>
      <c r="H351" s="18">
        <v>32</v>
      </c>
      <c r="I351" s="18">
        <v>5400</v>
      </c>
      <c r="J351" s="18">
        <v>34000</v>
      </c>
      <c r="K351" s="18">
        <v>105000</v>
      </c>
      <c r="L351" s="18">
        <v>0</v>
      </c>
      <c r="M351" s="18">
        <v>1220</v>
      </c>
      <c r="N351" s="18">
        <v>0</v>
      </c>
      <c r="O351" s="18">
        <v>0</v>
      </c>
      <c r="P351" s="18">
        <v>5900</v>
      </c>
      <c r="Q351" s="18">
        <f>#REF!/#REF!</f>
        <v>1.0925925925925926</v>
      </c>
      <c r="R351" s="18"/>
      <c r="S351" s="18">
        <v>1</v>
      </c>
      <c r="T351" s="18"/>
      <c r="U351" s="18"/>
      <c r="V351" s="18"/>
      <c r="W351" s="18"/>
      <c r="X351" s="18"/>
      <c r="Y351" s="18">
        <v>1</v>
      </c>
      <c r="Z351" s="18">
        <v>0</v>
      </c>
      <c r="AA351" s="18">
        <v>0</v>
      </c>
      <c r="AB351" s="18"/>
      <c r="AC351" s="18"/>
      <c r="AD351" s="18"/>
      <c r="AE351" s="18">
        <v>143</v>
      </c>
      <c r="AF351" s="18">
        <v>215</v>
      </c>
      <c r="AG351" s="18" t="s">
        <v>41</v>
      </c>
      <c r="AH351" s="18" t="s">
        <v>41</v>
      </c>
      <c r="AI351" s="18" t="s">
        <v>41</v>
      </c>
      <c r="AJ351" s="18">
        <v>1</v>
      </c>
      <c r="AK351" s="18" t="s">
        <v>1658</v>
      </c>
      <c r="AL351" s="19" t="s">
        <v>41</v>
      </c>
    </row>
    <row r="352" spans="1:38">
      <c r="A352" s="17" t="s">
        <v>759</v>
      </c>
      <c r="B352" s="18" t="s">
        <v>38</v>
      </c>
      <c r="C352" s="18">
        <v>2</v>
      </c>
      <c r="D352" s="18" t="s">
        <v>760</v>
      </c>
      <c r="E352" s="18" t="s">
        <v>761</v>
      </c>
      <c r="F352" s="18" t="s">
        <v>41</v>
      </c>
      <c r="G352" s="18" t="s">
        <v>234</v>
      </c>
      <c r="H352" s="18">
        <v>50</v>
      </c>
      <c r="I352" s="18">
        <v>5200</v>
      </c>
      <c r="J352" s="18">
        <v>33500</v>
      </c>
      <c r="K352" s="18">
        <v>99900</v>
      </c>
      <c r="L352" s="18">
        <v>0</v>
      </c>
      <c r="M352" s="18">
        <v>1200</v>
      </c>
      <c r="N352" s="18">
        <v>0</v>
      </c>
      <c r="O352" s="18">
        <v>0</v>
      </c>
      <c r="P352" s="18">
        <v>5600</v>
      </c>
      <c r="Q352" s="18">
        <f>#REF!/#REF!</f>
        <v>1.0769230769230769</v>
      </c>
      <c r="R352" s="18"/>
      <c r="S352" s="18">
        <v>1</v>
      </c>
      <c r="T352" s="18"/>
      <c r="U352" s="18"/>
      <c r="V352" s="18"/>
      <c r="W352" s="18"/>
      <c r="X352" s="18"/>
      <c r="Y352" s="18">
        <v>1</v>
      </c>
      <c r="Z352" s="18">
        <v>0</v>
      </c>
      <c r="AA352" s="18">
        <v>0</v>
      </c>
      <c r="AB352" s="18"/>
      <c r="AC352" s="18"/>
      <c r="AD352" s="18"/>
      <c r="AE352" s="18">
        <v>143</v>
      </c>
      <c r="AF352" s="18">
        <v>215</v>
      </c>
      <c r="AG352" s="18" t="s">
        <v>41</v>
      </c>
      <c r="AH352" s="18" t="s">
        <v>41</v>
      </c>
      <c r="AI352" s="18" t="s">
        <v>41</v>
      </c>
      <c r="AJ352" s="18">
        <v>1</v>
      </c>
      <c r="AK352" s="18" t="s">
        <v>1459</v>
      </c>
      <c r="AL352" s="19" t="s">
        <v>41</v>
      </c>
    </row>
    <row r="353" spans="1:38">
      <c r="A353" s="17" t="s">
        <v>474</v>
      </c>
      <c r="B353" s="18" t="s">
        <v>38</v>
      </c>
      <c r="C353" s="18">
        <v>2</v>
      </c>
      <c r="D353" s="18" t="s">
        <v>475</v>
      </c>
      <c r="E353" s="18" t="s">
        <v>476</v>
      </c>
      <c r="F353" s="18" t="s">
        <v>41</v>
      </c>
      <c r="G353" s="18" t="s">
        <v>477</v>
      </c>
      <c r="H353" s="18">
        <v>22</v>
      </c>
      <c r="I353" s="18">
        <v>2200</v>
      </c>
      <c r="J353" s="18">
        <v>46000</v>
      </c>
      <c r="K353" s="18">
        <v>57400</v>
      </c>
      <c r="L353" s="18">
        <v>0</v>
      </c>
      <c r="M353" s="18">
        <v>0</v>
      </c>
      <c r="N353" s="18">
        <v>0</v>
      </c>
      <c r="O353" s="18">
        <v>295</v>
      </c>
      <c r="P353" s="18">
        <v>2300</v>
      </c>
      <c r="Q353" s="18">
        <f>#REF!/#REF!</f>
        <v>1.0454545454545454</v>
      </c>
      <c r="R353" s="18"/>
      <c r="S353" s="18"/>
      <c r="T353" s="18">
        <v>1</v>
      </c>
      <c r="U353" s="18"/>
      <c r="V353" s="18"/>
      <c r="W353" s="18"/>
      <c r="X353" s="18"/>
      <c r="Y353" s="18"/>
      <c r="Z353" s="18">
        <v>625</v>
      </c>
      <c r="AA353" s="18">
        <v>250</v>
      </c>
      <c r="AB353" s="18"/>
      <c r="AC353" s="18"/>
      <c r="AD353" s="18"/>
      <c r="AE353" s="18">
        <v>455</v>
      </c>
      <c r="AF353" s="18">
        <v>683</v>
      </c>
      <c r="AG353" s="18" t="s">
        <v>41</v>
      </c>
      <c r="AH353" s="18" t="s">
        <v>88</v>
      </c>
      <c r="AI353" s="18" t="s">
        <v>41</v>
      </c>
      <c r="AJ353" s="18">
        <v>1</v>
      </c>
      <c r="AK353" s="18" t="s">
        <v>1382</v>
      </c>
      <c r="AL353" s="19" t="s">
        <v>41</v>
      </c>
    </row>
    <row r="354" spans="1:38">
      <c r="A354" s="17" t="s">
        <v>514</v>
      </c>
      <c r="B354" s="18" t="s">
        <v>38</v>
      </c>
      <c r="C354" s="18">
        <v>2</v>
      </c>
      <c r="D354" s="18" t="s">
        <v>515</v>
      </c>
      <c r="E354" s="18" t="s">
        <v>516</v>
      </c>
      <c r="F354" s="18" t="s">
        <v>41</v>
      </c>
      <c r="G354" s="18" t="s">
        <v>517</v>
      </c>
      <c r="H354" s="18">
        <v>81</v>
      </c>
      <c r="I354" s="18">
        <v>1600</v>
      </c>
      <c r="J354" s="18">
        <v>33000</v>
      </c>
      <c r="K354" s="18">
        <v>28000</v>
      </c>
      <c r="L354" s="18">
        <v>0</v>
      </c>
      <c r="M354" s="18">
        <v>0</v>
      </c>
      <c r="N354" s="18">
        <v>0</v>
      </c>
      <c r="O354" s="18">
        <v>0</v>
      </c>
      <c r="P354" s="18">
        <v>1670</v>
      </c>
      <c r="Q354" s="18">
        <f>#REF!/#REF!</f>
        <v>1.04375</v>
      </c>
      <c r="R354" s="18"/>
      <c r="S354" s="18"/>
      <c r="T354" s="18"/>
      <c r="U354" s="18"/>
      <c r="V354" s="18"/>
      <c r="W354" s="18"/>
      <c r="X354" s="18"/>
      <c r="Y354" s="18">
        <v>1</v>
      </c>
      <c r="Z354" s="18">
        <v>417</v>
      </c>
      <c r="AA354" s="18">
        <v>2400</v>
      </c>
      <c r="AB354" s="18"/>
      <c r="AC354" s="18"/>
      <c r="AD354" s="18"/>
      <c r="AE354" s="18">
        <v>600</v>
      </c>
      <c r="AF354" s="18">
        <v>2400</v>
      </c>
      <c r="AG354" s="18" t="s">
        <v>41</v>
      </c>
      <c r="AH354" s="18" t="s">
        <v>88</v>
      </c>
      <c r="AI354" s="18" t="s">
        <v>41</v>
      </c>
      <c r="AJ354" s="18">
        <v>1</v>
      </c>
      <c r="AK354" s="18" t="s">
        <v>1393</v>
      </c>
      <c r="AL354" s="19" t="s">
        <v>41</v>
      </c>
    </row>
    <row r="355" spans="1:38">
      <c r="A355" s="17" t="s">
        <v>392</v>
      </c>
      <c r="B355" s="18" t="s">
        <v>38</v>
      </c>
      <c r="C355" s="18">
        <v>2</v>
      </c>
      <c r="D355" s="18" t="s">
        <v>393</v>
      </c>
      <c r="E355" s="18" t="s">
        <v>394</v>
      </c>
      <c r="F355" s="18" t="s">
        <v>41</v>
      </c>
      <c r="G355" s="18" t="s">
        <v>234</v>
      </c>
      <c r="H355" s="18">
        <v>64</v>
      </c>
      <c r="I355" s="18">
        <v>4300</v>
      </c>
      <c r="J355" s="18">
        <v>21000</v>
      </c>
      <c r="K355" s="18">
        <v>70000</v>
      </c>
      <c r="L355" s="18">
        <v>0</v>
      </c>
      <c r="M355" s="18">
        <v>1000</v>
      </c>
      <c r="N355" s="18">
        <v>0</v>
      </c>
      <c r="O355" s="18">
        <v>0</v>
      </c>
      <c r="P355" s="18">
        <v>4450</v>
      </c>
      <c r="Q355" s="18">
        <f>#REF!/#REF!</f>
        <v>1.0348837209302326</v>
      </c>
      <c r="R355" s="18"/>
      <c r="S355" s="18"/>
      <c r="T355" s="18"/>
      <c r="U355" s="18"/>
      <c r="V355" s="18"/>
      <c r="W355" s="18"/>
      <c r="X355" s="18"/>
      <c r="Y355" s="18">
        <v>1</v>
      </c>
      <c r="Z355" s="18">
        <v>0</v>
      </c>
      <c r="AA355" s="18">
        <v>0</v>
      </c>
      <c r="AB355" s="18"/>
      <c r="AC355" s="18"/>
      <c r="AD355" s="18"/>
      <c r="AE355" s="18">
        <v>273</v>
      </c>
      <c r="AF355" s="18">
        <v>410</v>
      </c>
      <c r="AG355" s="18" t="s">
        <v>41</v>
      </c>
      <c r="AH355" s="18" t="s">
        <v>41</v>
      </c>
      <c r="AI355" s="18" t="s">
        <v>41</v>
      </c>
      <c r="AJ355" s="18">
        <v>1</v>
      </c>
      <c r="AK355" s="18" t="s">
        <v>1358</v>
      </c>
      <c r="AL355" s="19" t="s">
        <v>41</v>
      </c>
    </row>
    <row r="356" spans="1:38">
      <c r="A356" s="17" t="s">
        <v>1006</v>
      </c>
      <c r="B356" s="18" t="s">
        <v>806</v>
      </c>
      <c r="C356" s="18">
        <v>2</v>
      </c>
      <c r="D356" s="18" t="s">
        <v>1007</v>
      </c>
      <c r="E356" s="18" t="s">
        <v>209</v>
      </c>
      <c r="F356" s="18" t="s">
        <v>41</v>
      </c>
      <c r="G356" s="18" t="s">
        <v>1006</v>
      </c>
      <c r="H356" s="18">
        <v>88</v>
      </c>
      <c r="I356" s="18">
        <v>4600</v>
      </c>
      <c r="J356" s="18">
        <v>67000</v>
      </c>
      <c r="K356" s="18">
        <v>93300</v>
      </c>
      <c r="L356" s="18">
        <v>0</v>
      </c>
      <c r="M356" s="18">
        <v>0</v>
      </c>
      <c r="N356" s="18">
        <v>0</v>
      </c>
      <c r="O356" s="18">
        <v>0</v>
      </c>
      <c r="P356" s="18">
        <v>4700</v>
      </c>
      <c r="Q356" s="18">
        <f>#REF!/#REF!</f>
        <v>1.0217391304347827</v>
      </c>
      <c r="R356" s="18"/>
      <c r="S356" s="18"/>
      <c r="T356" s="18"/>
      <c r="U356" s="18"/>
      <c r="V356" s="18"/>
      <c r="W356" s="18"/>
      <c r="X356" s="18"/>
      <c r="Y356" s="18">
        <v>1</v>
      </c>
      <c r="Z356" s="18">
        <v>125</v>
      </c>
      <c r="AA356" s="18">
        <v>4950</v>
      </c>
      <c r="AB356" s="18"/>
      <c r="AC356" s="18"/>
      <c r="AD356" s="18"/>
      <c r="AE356" s="18">
        <v>273</v>
      </c>
      <c r="AF356" s="18">
        <v>410</v>
      </c>
      <c r="AG356" s="18" t="s">
        <v>41</v>
      </c>
      <c r="AH356" s="18" t="s">
        <v>124</v>
      </c>
      <c r="AI356" s="18" t="s">
        <v>41</v>
      </c>
      <c r="AJ356" s="18">
        <v>1</v>
      </c>
      <c r="AK356" s="18" t="s">
        <v>1567</v>
      </c>
      <c r="AL356" s="19" t="s">
        <v>41</v>
      </c>
    </row>
    <row r="357" spans="1:38">
      <c r="A357" s="17" t="s">
        <v>998</v>
      </c>
      <c r="B357" s="18" t="s">
        <v>806</v>
      </c>
      <c r="C357" s="18">
        <v>2</v>
      </c>
      <c r="D357" s="18" t="s">
        <v>999</v>
      </c>
      <c r="E357" s="18" t="s">
        <v>879</v>
      </c>
      <c r="F357" s="18" t="s">
        <v>41</v>
      </c>
      <c r="G357" s="18" t="s">
        <v>1000</v>
      </c>
      <c r="H357" s="18">
        <v>34</v>
      </c>
      <c r="I357" s="18">
        <v>600</v>
      </c>
      <c r="J357" s="18">
        <v>5800</v>
      </c>
      <c r="K357" s="18">
        <v>6600</v>
      </c>
      <c r="L357" s="18">
        <v>0</v>
      </c>
      <c r="M357" s="18">
        <v>0</v>
      </c>
      <c r="N357" s="18">
        <v>0</v>
      </c>
      <c r="O357" s="18">
        <v>54</v>
      </c>
      <c r="P357" s="18">
        <v>610</v>
      </c>
      <c r="Q357" s="18">
        <f>#REF!/#REF!</f>
        <v>1.0166666666666666</v>
      </c>
      <c r="R357" s="18"/>
      <c r="S357" s="18"/>
      <c r="T357" s="18"/>
      <c r="U357" s="18"/>
      <c r="V357" s="18"/>
      <c r="W357" s="18"/>
      <c r="X357" s="18"/>
      <c r="Y357" s="18"/>
      <c r="Z357" s="18">
        <v>100</v>
      </c>
      <c r="AA357" s="18">
        <v>1210</v>
      </c>
      <c r="AB357" s="18"/>
      <c r="AC357" s="18"/>
      <c r="AD357" s="18"/>
      <c r="AE357" s="18">
        <v>371</v>
      </c>
      <c r="AF357" s="18">
        <v>556</v>
      </c>
      <c r="AG357" s="18" t="s">
        <v>41</v>
      </c>
      <c r="AH357" s="18" t="s">
        <v>104</v>
      </c>
      <c r="AI357" s="18" t="s">
        <v>41</v>
      </c>
      <c r="AJ357" s="18">
        <v>1</v>
      </c>
      <c r="AK357" s="18" t="s">
        <v>1561</v>
      </c>
      <c r="AL357" s="19" t="s">
        <v>41</v>
      </c>
    </row>
    <row r="358" spans="1:38">
      <c r="A358" s="17" t="s">
        <v>1119</v>
      </c>
      <c r="B358" s="18" t="s">
        <v>806</v>
      </c>
      <c r="C358" s="18">
        <v>2</v>
      </c>
      <c r="D358" s="18" t="s">
        <v>1120</v>
      </c>
      <c r="E358" s="18" t="s">
        <v>516</v>
      </c>
      <c r="F358" s="18" t="s">
        <v>41</v>
      </c>
      <c r="G358" s="18" t="s">
        <v>517</v>
      </c>
      <c r="H358" s="18">
        <v>61</v>
      </c>
      <c r="I358" s="18">
        <v>1650</v>
      </c>
      <c r="J358" s="18">
        <v>32000</v>
      </c>
      <c r="K358" s="18">
        <v>28000</v>
      </c>
      <c r="L358" s="18">
        <v>0</v>
      </c>
      <c r="M358" s="18">
        <v>0</v>
      </c>
      <c r="N358" s="18">
        <v>0</v>
      </c>
      <c r="O358" s="18">
        <v>0</v>
      </c>
      <c r="P358" s="18">
        <v>1670</v>
      </c>
      <c r="Q358" s="18">
        <f>#REF!/#REF!</f>
        <v>1.0121212121212122</v>
      </c>
      <c r="R358" s="18"/>
      <c r="S358" s="18"/>
      <c r="T358" s="18"/>
      <c r="U358" s="18"/>
      <c r="V358" s="18"/>
      <c r="W358" s="18"/>
      <c r="X358" s="18"/>
      <c r="Y358" s="18">
        <v>1</v>
      </c>
      <c r="Z358" s="18">
        <v>417</v>
      </c>
      <c r="AA358" s="18">
        <v>2400</v>
      </c>
      <c r="AB358" s="18"/>
      <c r="AC358" s="18"/>
      <c r="AD358" s="18"/>
      <c r="AE358" s="18">
        <v>600</v>
      </c>
      <c r="AF358" s="18">
        <v>2400</v>
      </c>
      <c r="AG358" s="18" t="s">
        <v>41</v>
      </c>
      <c r="AH358" s="18" t="s">
        <v>88</v>
      </c>
      <c r="AI358" s="18" t="s">
        <v>41</v>
      </c>
      <c r="AJ358" s="18">
        <v>1</v>
      </c>
      <c r="AK358" s="18" t="s">
        <v>1619</v>
      </c>
      <c r="AL358" s="19" t="s">
        <v>41</v>
      </c>
    </row>
    <row r="359" spans="1:38">
      <c r="A359" s="17" t="s">
        <v>207</v>
      </c>
      <c r="B359" s="18" t="s">
        <v>38</v>
      </c>
      <c r="C359" s="18">
        <v>2</v>
      </c>
      <c r="D359" s="18" t="s">
        <v>208</v>
      </c>
      <c r="E359" s="18" t="s">
        <v>209</v>
      </c>
      <c r="F359" s="18" t="s">
        <v>41</v>
      </c>
      <c r="G359" s="18" t="s">
        <v>207</v>
      </c>
      <c r="H359" s="18">
        <v>88</v>
      </c>
      <c r="I359" s="18">
        <v>4500</v>
      </c>
      <c r="J359" s="18">
        <v>64000</v>
      </c>
      <c r="K359" s="18">
        <v>85000</v>
      </c>
      <c r="L359" s="18">
        <v>0</v>
      </c>
      <c r="M359" s="18">
        <v>0</v>
      </c>
      <c r="N359" s="18">
        <v>0</v>
      </c>
      <c r="O359" s="18">
        <v>0</v>
      </c>
      <c r="P359" s="18">
        <v>4450</v>
      </c>
      <c r="Q359" s="18">
        <f>#REF!/#REF!</f>
        <v>0.98888888888888893</v>
      </c>
      <c r="R359" s="18"/>
      <c r="S359" s="18"/>
      <c r="T359" s="18"/>
      <c r="U359" s="18"/>
      <c r="V359" s="18"/>
      <c r="W359" s="18"/>
      <c r="X359" s="18"/>
      <c r="Y359" s="18">
        <v>1</v>
      </c>
      <c r="Z359" s="18">
        <v>123</v>
      </c>
      <c r="AA359" s="18">
        <v>4650</v>
      </c>
      <c r="AB359" s="18"/>
      <c r="AC359" s="18"/>
      <c r="AD359" s="18"/>
      <c r="AE359" s="18">
        <v>273</v>
      </c>
      <c r="AF359" s="18">
        <v>410</v>
      </c>
      <c r="AG359" s="18" t="s">
        <v>41</v>
      </c>
      <c r="AH359" s="18" t="s">
        <v>124</v>
      </c>
      <c r="AI359" s="18" t="s">
        <v>41</v>
      </c>
      <c r="AJ359" s="18">
        <v>1</v>
      </c>
      <c r="AK359" s="18" t="s">
        <v>1313</v>
      </c>
      <c r="AL359" s="19" t="s">
        <v>41</v>
      </c>
    </row>
    <row r="360" spans="1:38">
      <c r="A360" s="17" t="s">
        <v>820</v>
      </c>
      <c r="B360" s="18" t="s">
        <v>806</v>
      </c>
      <c r="C360" s="18">
        <v>2</v>
      </c>
      <c r="D360" s="18" t="s">
        <v>77</v>
      </c>
      <c r="E360" s="18" t="s">
        <v>78</v>
      </c>
      <c r="F360" s="18" t="s">
        <v>41</v>
      </c>
      <c r="G360" s="18" t="s">
        <v>79</v>
      </c>
      <c r="H360" s="18">
        <v>99</v>
      </c>
      <c r="I360" s="18">
        <v>9700</v>
      </c>
      <c r="J360" s="18">
        <v>48000</v>
      </c>
      <c r="K360" s="18">
        <v>329200</v>
      </c>
      <c r="L360" s="18">
        <v>0</v>
      </c>
      <c r="M360" s="18">
        <v>3000</v>
      </c>
      <c r="N360" s="18">
        <v>0</v>
      </c>
      <c r="O360" s="18">
        <v>0</v>
      </c>
      <c r="P360" s="18">
        <v>9400</v>
      </c>
      <c r="Q360" s="18">
        <f>#REF!/#REF!</f>
        <v>0.96907216494845361</v>
      </c>
      <c r="R360" s="18"/>
      <c r="S360" s="18"/>
      <c r="T360" s="18"/>
      <c r="U360" s="18"/>
      <c r="V360" s="18"/>
      <c r="W360" s="18"/>
      <c r="X360" s="18"/>
      <c r="Y360" s="18">
        <v>1</v>
      </c>
      <c r="Z360" s="18">
        <v>0</v>
      </c>
      <c r="AA360" s="18">
        <v>0</v>
      </c>
      <c r="AB360" s="18"/>
      <c r="AC360" s="18"/>
      <c r="AD360" s="18"/>
      <c r="AE360" s="18">
        <v>273</v>
      </c>
      <c r="AF360" s="18">
        <v>410</v>
      </c>
      <c r="AG360" s="18" t="s">
        <v>41</v>
      </c>
      <c r="AH360" s="18" t="s">
        <v>41</v>
      </c>
      <c r="AI360" s="18" t="s">
        <v>41</v>
      </c>
      <c r="AJ360" s="18">
        <v>1</v>
      </c>
      <c r="AK360" s="18" t="s">
        <v>1481</v>
      </c>
      <c r="AL360" s="19" t="s">
        <v>41</v>
      </c>
    </row>
    <row r="361" spans="1:38">
      <c r="A361" s="17" t="s">
        <v>231</v>
      </c>
      <c r="B361" s="18" t="s">
        <v>38</v>
      </c>
      <c r="C361" s="18">
        <v>2</v>
      </c>
      <c r="D361" s="18" t="s">
        <v>232</v>
      </c>
      <c r="E361" s="18" t="s">
        <v>233</v>
      </c>
      <c r="F361" s="18" t="s">
        <v>41</v>
      </c>
      <c r="G361" s="18" t="s">
        <v>234</v>
      </c>
      <c r="H361" s="18">
        <v>61</v>
      </c>
      <c r="I361" s="18">
        <v>4700</v>
      </c>
      <c r="J361" s="18">
        <v>26000</v>
      </c>
      <c r="K361" s="18">
        <v>84400</v>
      </c>
      <c r="L361" s="18">
        <v>0</v>
      </c>
      <c r="M361" s="18">
        <v>1050</v>
      </c>
      <c r="N361" s="18">
        <v>0</v>
      </c>
      <c r="O361" s="18">
        <v>0</v>
      </c>
      <c r="P361" s="18">
        <v>4450</v>
      </c>
      <c r="Q361" s="18">
        <f>#REF!/#REF!</f>
        <v>0.94680851063829785</v>
      </c>
      <c r="R361" s="18"/>
      <c r="S361" s="18"/>
      <c r="T361" s="18"/>
      <c r="U361" s="18"/>
      <c r="V361" s="18"/>
      <c r="W361" s="18"/>
      <c r="X361" s="18"/>
      <c r="Y361" s="18">
        <v>1</v>
      </c>
      <c r="Z361" s="18">
        <v>0</v>
      </c>
      <c r="AA361" s="18">
        <v>0</v>
      </c>
      <c r="AB361" s="18"/>
      <c r="AC361" s="18"/>
      <c r="AD361" s="18"/>
      <c r="AE361" s="18">
        <v>273</v>
      </c>
      <c r="AF361" s="18">
        <v>410</v>
      </c>
      <c r="AG361" s="18" t="s">
        <v>98</v>
      </c>
      <c r="AH361" s="18" t="s">
        <v>41</v>
      </c>
      <c r="AI361" s="18" t="s">
        <v>41</v>
      </c>
      <c r="AJ361" s="18">
        <v>1</v>
      </c>
      <c r="AK361" s="18" t="s">
        <v>1319</v>
      </c>
      <c r="AL361" s="19" t="s">
        <v>41</v>
      </c>
    </row>
    <row r="362" spans="1:38">
      <c r="A362" s="17" t="s">
        <v>964</v>
      </c>
      <c r="B362" s="18" t="s">
        <v>806</v>
      </c>
      <c r="C362" s="18">
        <v>1</v>
      </c>
      <c r="D362" s="18" t="s">
        <v>385</v>
      </c>
      <c r="E362" s="18" t="s">
        <v>386</v>
      </c>
      <c r="F362" s="18" t="s">
        <v>41</v>
      </c>
      <c r="G362" s="18" t="s">
        <v>387</v>
      </c>
      <c r="H362" s="18">
        <v>84</v>
      </c>
      <c r="I362" s="18">
        <v>130</v>
      </c>
      <c r="J362" s="18">
        <v>1000</v>
      </c>
      <c r="K362" s="18">
        <v>1800</v>
      </c>
      <c r="L362" s="18">
        <v>0</v>
      </c>
      <c r="M362" s="18">
        <v>0</v>
      </c>
      <c r="N362" s="18">
        <v>0</v>
      </c>
      <c r="O362" s="18">
        <v>0</v>
      </c>
      <c r="P362" s="18">
        <v>114</v>
      </c>
      <c r="Q362" s="18">
        <f>#REF!/#REF!</f>
        <v>0.87692307692307692</v>
      </c>
      <c r="R362" s="18"/>
      <c r="S362" s="18"/>
      <c r="T362" s="18"/>
      <c r="U362" s="18"/>
      <c r="V362" s="18"/>
      <c r="W362" s="18"/>
      <c r="X362" s="18"/>
      <c r="Y362" s="18">
        <v>1</v>
      </c>
      <c r="Z362" s="18">
        <v>0</v>
      </c>
      <c r="AA362" s="18">
        <v>0</v>
      </c>
      <c r="AB362" s="18"/>
      <c r="AC362" s="18">
        <v>900</v>
      </c>
      <c r="AD362" s="18">
        <v>2100</v>
      </c>
      <c r="AE362" s="18">
        <v>740</v>
      </c>
      <c r="AF362" s="18">
        <v>1110</v>
      </c>
      <c r="AG362" s="18" t="s">
        <v>48</v>
      </c>
      <c r="AH362" s="18" t="s">
        <v>41</v>
      </c>
      <c r="AI362" s="18" t="s">
        <v>41</v>
      </c>
      <c r="AJ362" s="18">
        <v>1</v>
      </c>
      <c r="AK362" s="18" t="s">
        <v>1545</v>
      </c>
      <c r="AL362" s="19" t="s">
        <v>41</v>
      </c>
    </row>
    <row r="363" spans="1:38">
      <c r="A363" s="17" t="s">
        <v>691</v>
      </c>
      <c r="B363" s="18" t="s">
        <v>38</v>
      </c>
      <c r="C363" s="18">
        <v>2</v>
      </c>
      <c r="D363" s="18" t="s">
        <v>692</v>
      </c>
      <c r="E363" s="18" t="s">
        <v>693</v>
      </c>
      <c r="F363" s="18" t="s">
        <v>41</v>
      </c>
      <c r="G363" s="18" t="s">
        <v>694</v>
      </c>
      <c r="H363" s="18">
        <v>42</v>
      </c>
      <c r="I363" s="18">
        <v>680</v>
      </c>
      <c r="J363" s="18">
        <v>20000</v>
      </c>
      <c r="K363" s="18">
        <v>19000</v>
      </c>
      <c r="L363" s="18">
        <v>0</v>
      </c>
      <c r="M363" s="18">
        <v>0</v>
      </c>
      <c r="N363" s="18">
        <v>0</v>
      </c>
      <c r="O363" s="18">
        <v>33</v>
      </c>
      <c r="P363" s="18">
        <v>580</v>
      </c>
      <c r="Q363" s="18">
        <f>#REF!/#REF!</f>
        <v>0.8529411764705882</v>
      </c>
      <c r="R363" s="18"/>
      <c r="S363" s="18"/>
      <c r="T363" s="18"/>
      <c r="U363" s="18"/>
      <c r="V363" s="18"/>
      <c r="W363" s="18"/>
      <c r="X363" s="18"/>
      <c r="Y363" s="18"/>
      <c r="Z363" s="18">
        <v>250</v>
      </c>
      <c r="AA363" s="18">
        <v>900</v>
      </c>
      <c r="AB363" s="18"/>
      <c r="AC363" s="18"/>
      <c r="AD363" s="18"/>
      <c r="AE363" s="18">
        <v>455</v>
      </c>
      <c r="AF363" s="18">
        <v>683</v>
      </c>
      <c r="AG363" s="18" t="s">
        <v>98</v>
      </c>
      <c r="AH363" s="18" t="s">
        <v>124</v>
      </c>
      <c r="AI363" s="18" t="s">
        <v>41</v>
      </c>
      <c r="AJ363" s="18">
        <v>1</v>
      </c>
      <c r="AK363" s="18" t="s">
        <v>1440</v>
      </c>
      <c r="AL363" s="19" t="s">
        <v>41</v>
      </c>
    </row>
    <row r="364" spans="1:38">
      <c r="A364" s="17" t="s">
        <v>384</v>
      </c>
      <c r="B364" s="18" t="s">
        <v>38</v>
      </c>
      <c r="C364" s="18">
        <v>1</v>
      </c>
      <c r="D364" s="18" t="s">
        <v>385</v>
      </c>
      <c r="E364" s="18" t="s">
        <v>386</v>
      </c>
      <c r="F364" s="18" t="s">
        <v>41</v>
      </c>
      <c r="G364" s="18" t="s">
        <v>387</v>
      </c>
      <c r="H364" s="18">
        <v>59</v>
      </c>
      <c r="I364" s="18">
        <v>130</v>
      </c>
      <c r="J364" s="18">
        <v>1000</v>
      </c>
      <c r="K364" s="18">
        <v>1800</v>
      </c>
      <c r="L364" s="18">
        <v>0</v>
      </c>
      <c r="M364" s="18">
        <v>0</v>
      </c>
      <c r="N364" s="18">
        <v>0</v>
      </c>
      <c r="O364" s="18">
        <v>0</v>
      </c>
      <c r="P364" s="18">
        <v>110</v>
      </c>
      <c r="Q364" s="18">
        <f>#REF!/#REF!</f>
        <v>0.84615384615384615</v>
      </c>
      <c r="R364" s="18"/>
      <c r="S364" s="18"/>
      <c r="T364" s="18"/>
      <c r="U364" s="18"/>
      <c r="V364" s="18"/>
      <c r="W364" s="18"/>
      <c r="X364" s="18"/>
      <c r="Y364" s="18">
        <v>1</v>
      </c>
      <c r="Z364" s="18">
        <v>0</v>
      </c>
      <c r="AA364" s="18">
        <v>0</v>
      </c>
      <c r="AB364" s="18"/>
      <c r="AC364" s="18">
        <v>900</v>
      </c>
      <c r="AD364" s="18">
        <v>2100</v>
      </c>
      <c r="AE364" s="18">
        <v>760</v>
      </c>
      <c r="AF364" s="18">
        <v>1140</v>
      </c>
      <c r="AG364" s="18" t="s">
        <v>48</v>
      </c>
      <c r="AH364" s="18" t="s">
        <v>41</v>
      </c>
      <c r="AI364" s="18" t="s">
        <v>41</v>
      </c>
      <c r="AJ364" s="18">
        <v>1</v>
      </c>
      <c r="AK364" s="18" t="s">
        <v>1356</v>
      </c>
      <c r="AL364" s="19" t="s">
        <v>41</v>
      </c>
    </row>
    <row r="365" spans="1:38">
      <c r="A365" s="17" t="s">
        <v>76</v>
      </c>
      <c r="B365" s="18" t="s">
        <v>38</v>
      </c>
      <c r="C365" s="18">
        <v>2</v>
      </c>
      <c r="D365" s="18" t="s">
        <v>77</v>
      </c>
      <c r="E365" s="18" t="s">
        <v>78</v>
      </c>
      <c r="F365" s="18" t="s">
        <v>41</v>
      </c>
      <c r="G365" s="18" t="s">
        <v>79</v>
      </c>
      <c r="H365" s="18">
        <v>85</v>
      </c>
      <c r="I365" s="18">
        <v>9700</v>
      </c>
      <c r="J365" s="18">
        <v>69000</v>
      </c>
      <c r="K365" s="18">
        <v>312500</v>
      </c>
      <c r="L365" s="18">
        <v>0</v>
      </c>
      <c r="M365" s="18">
        <v>3000</v>
      </c>
      <c r="N365" s="18">
        <v>0</v>
      </c>
      <c r="O365" s="18">
        <v>0</v>
      </c>
      <c r="P365" s="18">
        <v>7900</v>
      </c>
      <c r="Q365" s="18">
        <f>#REF!/#REF!</f>
        <v>0.81443298969072164</v>
      </c>
      <c r="R365" s="18"/>
      <c r="S365" s="18"/>
      <c r="T365" s="18"/>
      <c r="U365" s="18"/>
      <c r="V365" s="18"/>
      <c r="W365" s="18"/>
      <c r="X365" s="18"/>
      <c r="Y365" s="18">
        <v>1</v>
      </c>
      <c r="Z365" s="18">
        <v>0</v>
      </c>
      <c r="AA365" s="18">
        <v>0</v>
      </c>
      <c r="AB365" s="18"/>
      <c r="AC365" s="18"/>
      <c r="AD365" s="18"/>
      <c r="AE365" s="18">
        <v>273</v>
      </c>
      <c r="AF365" s="18">
        <v>410</v>
      </c>
      <c r="AG365" s="18" t="s">
        <v>41</v>
      </c>
      <c r="AH365" s="18" t="s">
        <v>41</v>
      </c>
      <c r="AI365" s="18" t="s">
        <v>41</v>
      </c>
      <c r="AJ365" s="18">
        <v>1</v>
      </c>
      <c r="AK365" s="18" t="s">
        <v>1280</v>
      </c>
      <c r="AL365" s="19" t="s">
        <v>41</v>
      </c>
    </row>
    <row r="366" spans="1:38">
      <c r="A366" s="17" t="s">
        <v>1145</v>
      </c>
      <c r="B366" s="18" t="s">
        <v>806</v>
      </c>
      <c r="C366" s="18">
        <v>2</v>
      </c>
      <c r="D366" s="18" t="s">
        <v>1146</v>
      </c>
      <c r="E366" s="18" t="s">
        <v>684</v>
      </c>
      <c r="F366" s="18" t="s">
        <v>41</v>
      </c>
      <c r="G366" s="18" t="s">
        <v>685</v>
      </c>
      <c r="H366" s="18">
        <v>30</v>
      </c>
      <c r="I366" s="18">
        <v>7700</v>
      </c>
      <c r="J366" s="18">
        <v>82000</v>
      </c>
      <c r="K366" s="18">
        <v>181000</v>
      </c>
      <c r="L366" s="18">
        <v>0</v>
      </c>
      <c r="M366" s="18">
        <v>0</v>
      </c>
      <c r="N366" s="18">
        <v>0</v>
      </c>
      <c r="O366" s="18">
        <v>0</v>
      </c>
      <c r="P366" s="18">
        <v>6200</v>
      </c>
      <c r="Q366" s="18">
        <f>#REF!/#REF!</f>
        <v>0.80519480519480524</v>
      </c>
      <c r="R366" s="18"/>
      <c r="S366" s="18"/>
      <c r="T366" s="18"/>
      <c r="U366" s="18"/>
      <c r="V366" s="18"/>
      <c r="W366" s="18"/>
      <c r="X366" s="18"/>
      <c r="Y366" s="18">
        <v>1</v>
      </c>
      <c r="Z366" s="18">
        <v>383</v>
      </c>
      <c r="AA366" s="18">
        <v>72000</v>
      </c>
      <c r="AB366" s="18"/>
      <c r="AC366" s="18"/>
      <c r="AD366" s="18">
        <v>50</v>
      </c>
      <c r="AE366" s="18">
        <v>455</v>
      </c>
      <c r="AF366" s="18">
        <v>683</v>
      </c>
      <c r="AG366" s="18" t="s">
        <v>41</v>
      </c>
      <c r="AH366" s="18" t="s">
        <v>686</v>
      </c>
      <c r="AI366" s="18" t="s">
        <v>41</v>
      </c>
      <c r="AJ366" s="18">
        <v>1</v>
      </c>
      <c r="AK366" s="18" t="s">
        <v>1631</v>
      </c>
      <c r="AL366" s="19" t="s">
        <v>41</v>
      </c>
    </row>
    <row r="367" spans="1:38">
      <c r="A367" s="17" t="s">
        <v>640</v>
      </c>
      <c r="B367" s="18" t="s">
        <v>38</v>
      </c>
      <c r="C367" s="18">
        <v>2</v>
      </c>
      <c r="D367" s="18" t="s">
        <v>641</v>
      </c>
      <c r="E367" s="18" t="s">
        <v>642</v>
      </c>
      <c r="F367" s="18" t="s">
        <v>41</v>
      </c>
      <c r="G367" s="18" t="s">
        <v>643</v>
      </c>
      <c r="H367" s="18">
        <v>39</v>
      </c>
      <c r="I367" s="18">
        <v>1150</v>
      </c>
      <c r="J367" s="18">
        <v>30000</v>
      </c>
      <c r="K367" s="18">
        <v>40000</v>
      </c>
      <c r="L367" s="18">
        <v>0</v>
      </c>
      <c r="M367" s="18">
        <v>0</v>
      </c>
      <c r="N367" s="18">
        <v>0</v>
      </c>
      <c r="O367" s="18">
        <v>51</v>
      </c>
      <c r="P367" s="18">
        <v>870</v>
      </c>
      <c r="Q367" s="18">
        <f>#REF!/#REF!</f>
        <v>0.75652173913043474</v>
      </c>
      <c r="R367" s="18"/>
      <c r="S367" s="18"/>
      <c r="T367" s="18"/>
      <c r="U367" s="18"/>
      <c r="V367" s="18"/>
      <c r="W367" s="18"/>
      <c r="X367" s="18"/>
      <c r="Y367" s="18"/>
      <c r="Z367" s="18">
        <v>250</v>
      </c>
      <c r="AA367" s="18">
        <v>72000</v>
      </c>
      <c r="AB367" s="18"/>
      <c r="AC367" s="18"/>
      <c r="AD367" s="18">
        <v>50</v>
      </c>
      <c r="AE367" s="18">
        <v>450</v>
      </c>
      <c r="AF367" s="18">
        <v>675</v>
      </c>
      <c r="AG367" s="18" t="s">
        <v>41</v>
      </c>
      <c r="AH367" s="18" t="s">
        <v>104</v>
      </c>
      <c r="AI367" s="18" t="s">
        <v>41</v>
      </c>
      <c r="AJ367" s="18">
        <v>1</v>
      </c>
      <c r="AK367" s="18" t="s">
        <v>1427</v>
      </c>
      <c r="AL367" s="19" t="s">
        <v>41</v>
      </c>
    </row>
    <row r="368" spans="1:38">
      <c r="A368" s="17" t="s">
        <v>682</v>
      </c>
      <c r="B368" s="18" t="s">
        <v>38</v>
      </c>
      <c r="C368" s="18">
        <v>2</v>
      </c>
      <c r="D368" s="18" t="s">
        <v>683</v>
      </c>
      <c r="E368" s="18" t="s">
        <v>684</v>
      </c>
      <c r="F368" s="18" t="s">
        <v>41</v>
      </c>
      <c r="G368" s="18" t="s">
        <v>685</v>
      </c>
      <c r="H368" s="18">
        <v>72</v>
      </c>
      <c r="I368" s="18">
        <v>8100</v>
      </c>
      <c r="J368" s="18">
        <v>90000</v>
      </c>
      <c r="K368" s="18">
        <v>178500</v>
      </c>
      <c r="L368" s="18">
        <v>0</v>
      </c>
      <c r="M368" s="18">
        <v>0</v>
      </c>
      <c r="N368" s="18">
        <v>0</v>
      </c>
      <c r="O368" s="18">
        <v>0</v>
      </c>
      <c r="P368" s="18">
        <v>5900</v>
      </c>
      <c r="Q368" s="18">
        <f>#REF!/#REF!</f>
        <v>0.72839506172839508</v>
      </c>
      <c r="R368" s="18"/>
      <c r="S368" s="18"/>
      <c r="T368" s="18"/>
      <c r="U368" s="18"/>
      <c r="V368" s="18"/>
      <c r="W368" s="18"/>
      <c r="X368" s="18"/>
      <c r="Y368" s="18">
        <v>1</v>
      </c>
      <c r="Z368" s="18">
        <v>317</v>
      </c>
      <c r="AA368" s="18">
        <v>72000</v>
      </c>
      <c r="AB368" s="18"/>
      <c r="AC368" s="18"/>
      <c r="AD368" s="18">
        <v>50</v>
      </c>
      <c r="AE368" s="18">
        <v>455</v>
      </c>
      <c r="AF368" s="18">
        <v>683</v>
      </c>
      <c r="AG368" s="18" t="s">
        <v>41</v>
      </c>
      <c r="AH368" s="18" t="s">
        <v>686</v>
      </c>
      <c r="AI368" s="18" t="s">
        <v>41</v>
      </c>
      <c r="AJ368" s="18">
        <v>1</v>
      </c>
      <c r="AK368" s="18" t="s">
        <v>1438</v>
      </c>
      <c r="AL368" s="19" t="s">
        <v>41</v>
      </c>
    </row>
    <row r="369" spans="1:38">
      <c r="A369" s="17" t="s">
        <v>1034</v>
      </c>
      <c r="B369" s="18" t="s">
        <v>806</v>
      </c>
      <c r="C369" s="18">
        <v>2</v>
      </c>
      <c r="D369" s="18" t="s">
        <v>1035</v>
      </c>
      <c r="E369" s="18" t="s">
        <v>642</v>
      </c>
      <c r="F369" s="18" t="s">
        <v>41</v>
      </c>
      <c r="G369" s="18" t="s">
        <v>1576</v>
      </c>
      <c r="H369" s="18">
        <v>44</v>
      </c>
      <c r="I369" s="18">
        <v>1250</v>
      </c>
      <c r="J369" s="18">
        <v>32000</v>
      </c>
      <c r="K369" s="18">
        <v>42000</v>
      </c>
      <c r="L369" s="18">
        <v>0</v>
      </c>
      <c r="M369" s="18">
        <v>0</v>
      </c>
      <c r="N369" s="18">
        <v>0</v>
      </c>
      <c r="O369" s="18">
        <v>51</v>
      </c>
      <c r="P369" s="18">
        <v>870</v>
      </c>
      <c r="Q369" s="18">
        <f>#REF!/#REF!</f>
        <v>0.69599999999999995</v>
      </c>
      <c r="R369" s="18"/>
      <c r="S369" s="18"/>
      <c r="T369" s="18"/>
      <c r="U369" s="18"/>
      <c r="V369" s="18"/>
      <c r="W369" s="18"/>
      <c r="X369" s="18"/>
      <c r="Y369" s="18"/>
      <c r="Z369" s="18">
        <v>250</v>
      </c>
      <c r="AA369" s="18">
        <v>72000</v>
      </c>
      <c r="AB369" s="18"/>
      <c r="AC369" s="18"/>
      <c r="AD369" s="18">
        <v>50</v>
      </c>
      <c r="AE369" s="18">
        <v>450</v>
      </c>
      <c r="AF369" s="18">
        <v>675</v>
      </c>
      <c r="AG369" s="18" t="s">
        <v>41</v>
      </c>
      <c r="AH369" s="18" t="s">
        <v>104</v>
      </c>
      <c r="AI369" s="18" t="s">
        <v>41</v>
      </c>
      <c r="AJ369" s="18">
        <v>1</v>
      </c>
      <c r="AK369" s="18" t="s">
        <v>1577</v>
      </c>
      <c r="AL369" s="19" t="s">
        <v>41</v>
      </c>
    </row>
    <row r="370" spans="1:38">
      <c r="A370" s="17" t="s">
        <v>838</v>
      </c>
      <c r="B370" s="18" t="s">
        <v>806</v>
      </c>
      <c r="C370" s="18">
        <v>2</v>
      </c>
      <c r="D370" s="18" t="s">
        <v>137</v>
      </c>
      <c r="E370" s="18" t="s">
        <v>138</v>
      </c>
      <c r="F370" s="18" t="s">
        <v>41</v>
      </c>
      <c r="G370" s="18" t="s">
        <v>139</v>
      </c>
      <c r="H370" s="18">
        <v>90</v>
      </c>
      <c r="I370" s="18">
        <v>560</v>
      </c>
      <c r="J370" s="18">
        <v>19000</v>
      </c>
      <c r="K370" s="18">
        <v>12000</v>
      </c>
      <c r="L370" s="18">
        <v>0</v>
      </c>
      <c r="M370" s="18">
        <v>0</v>
      </c>
      <c r="N370" s="18">
        <v>0</v>
      </c>
      <c r="O370" s="18">
        <v>0</v>
      </c>
      <c r="P370" s="18">
        <v>365</v>
      </c>
      <c r="Q370" s="18">
        <f>#REF!/#REF!</f>
        <v>0.6517857142857143</v>
      </c>
      <c r="R370" s="18"/>
      <c r="S370" s="18"/>
      <c r="T370" s="18"/>
      <c r="U370" s="18"/>
      <c r="V370" s="18"/>
      <c r="W370" s="18"/>
      <c r="X370" s="18"/>
      <c r="Y370" s="18">
        <v>1</v>
      </c>
      <c r="Z370" s="18">
        <v>0</v>
      </c>
      <c r="AA370" s="18">
        <v>0</v>
      </c>
      <c r="AB370" s="18"/>
      <c r="AC370" s="18"/>
      <c r="AD370" s="18">
        <v>3500</v>
      </c>
      <c r="AE370" s="18">
        <v>780</v>
      </c>
      <c r="AF370" s="18">
        <v>1170</v>
      </c>
      <c r="AG370" s="18" t="s">
        <v>48</v>
      </c>
      <c r="AH370" s="18" t="s">
        <v>41</v>
      </c>
      <c r="AI370" s="18" t="s">
        <v>41</v>
      </c>
      <c r="AJ370" s="18">
        <v>1</v>
      </c>
      <c r="AK370" s="18" t="s">
        <v>1493</v>
      </c>
      <c r="AL370" s="19" t="s">
        <v>41</v>
      </c>
    </row>
    <row r="371" spans="1:38">
      <c r="A371" s="17" t="s">
        <v>136</v>
      </c>
      <c r="B371" s="18" t="s">
        <v>38</v>
      </c>
      <c r="C371" s="18">
        <v>2</v>
      </c>
      <c r="D371" s="18" t="s">
        <v>137</v>
      </c>
      <c r="E371" s="18" t="s">
        <v>138</v>
      </c>
      <c r="F371" s="18" t="s">
        <v>41</v>
      </c>
      <c r="G371" s="18" t="s">
        <v>139</v>
      </c>
      <c r="H371" s="18">
        <v>21</v>
      </c>
      <c r="I371" s="18">
        <v>560</v>
      </c>
      <c r="J371" s="18">
        <v>19000</v>
      </c>
      <c r="K371" s="18">
        <v>11800</v>
      </c>
      <c r="L371" s="18">
        <v>0</v>
      </c>
      <c r="M371" s="18">
        <v>0</v>
      </c>
      <c r="N371" s="18">
        <v>0</v>
      </c>
      <c r="O371" s="18">
        <v>0</v>
      </c>
      <c r="P371" s="18">
        <v>355</v>
      </c>
      <c r="Q371" s="18">
        <f>#REF!/#REF!</f>
        <v>0.6339285714285714</v>
      </c>
      <c r="R371" s="18"/>
      <c r="S371" s="18"/>
      <c r="T371" s="18"/>
      <c r="U371" s="18"/>
      <c r="V371" s="18"/>
      <c r="W371" s="18"/>
      <c r="X371" s="18"/>
      <c r="Y371" s="18">
        <v>1</v>
      </c>
      <c r="Z371" s="18">
        <v>0</v>
      </c>
      <c r="AA371" s="18">
        <v>0</v>
      </c>
      <c r="AB371" s="18"/>
      <c r="AC371" s="18"/>
      <c r="AD371" s="18">
        <v>3500</v>
      </c>
      <c r="AE371" s="18">
        <v>820</v>
      </c>
      <c r="AF371" s="18">
        <v>1230</v>
      </c>
      <c r="AG371" s="18" t="s">
        <v>48</v>
      </c>
      <c r="AH371" s="18" t="s">
        <v>41</v>
      </c>
      <c r="AI371" s="18" t="s">
        <v>41</v>
      </c>
      <c r="AJ371" s="18">
        <v>1</v>
      </c>
      <c r="AK371" s="18" t="s">
        <v>1295</v>
      </c>
      <c r="AL371" s="19" t="s">
        <v>41</v>
      </c>
    </row>
    <row r="372" spans="1:38">
      <c r="A372" s="17" t="s">
        <v>55</v>
      </c>
      <c r="B372" s="18" t="s">
        <v>38</v>
      </c>
      <c r="C372" s="18">
        <v>2</v>
      </c>
      <c r="D372" s="18" t="s">
        <v>56</v>
      </c>
      <c r="E372" s="18" t="s">
        <v>57</v>
      </c>
      <c r="F372" s="18" t="s">
        <v>41</v>
      </c>
      <c r="G372" s="18" t="s">
        <v>58</v>
      </c>
      <c r="H372" s="18">
        <v>11</v>
      </c>
      <c r="I372" s="18">
        <v>340</v>
      </c>
      <c r="J372" s="18">
        <v>12000</v>
      </c>
      <c r="K372" s="18">
        <v>17750</v>
      </c>
      <c r="L372" s="18">
        <v>0</v>
      </c>
      <c r="M372" s="18">
        <v>10</v>
      </c>
      <c r="N372" s="18">
        <v>100</v>
      </c>
      <c r="O372" s="18">
        <v>192</v>
      </c>
      <c r="P372" s="18">
        <v>200</v>
      </c>
      <c r="Q372" s="18">
        <f>#REF!/#REF!</f>
        <v>0.58823529411764708</v>
      </c>
      <c r="R372" s="18"/>
      <c r="S372" s="18"/>
      <c r="T372" s="18">
        <v>1</v>
      </c>
      <c r="U372" s="18"/>
      <c r="V372" s="18"/>
      <c r="W372" s="18"/>
      <c r="X372" s="18"/>
      <c r="Y372" s="18"/>
      <c r="Z372" s="18">
        <v>0</v>
      </c>
      <c r="AA372" s="18">
        <v>0</v>
      </c>
      <c r="AB372" s="18"/>
      <c r="AC372" s="18"/>
      <c r="AD372" s="18">
        <v>50</v>
      </c>
      <c r="AE372" s="18">
        <v>384</v>
      </c>
      <c r="AF372" s="18">
        <v>575</v>
      </c>
      <c r="AG372" s="18" t="s">
        <v>41</v>
      </c>
      <c r="AH372" s="18" t="s">
        <v>41</v>
      </c>
      <c r="AI372" s="18" t="s">
        <v>59</v>
      </c>
      <c r="AJ372" s="18">
        <v>1</v>
      </c>
      <c r="AK372" s="18" t="s">
        <v>1275</v>
      </c>
      <c r="AL372" s="19" t="s">
        <v>41</v>
      </c>
    </row>
    <row r="373" spans="1:38">
      <c r="A373" s="17" t="s">
        <v>812</v>
      </c>
      <c r="B373" s="18" t="s">
        <v>806</v>
      </c>
      <c r="C373" s="18">
        <v>2</v>
      </c>
      <c r="D373" s="18" t="s">
        <v>56</v>
      </c>
      <c r="E373" s="18" t="s">
        <v>57</v>
      </c>
      <c r="F373" s="18" t="s">
        <v>41</v>
      </c>
      <c r="G373" s="18" t="s">
        <v>58</v>
      </c>
      <c r="H373" s="18">
        <v>18</v>
      </c>
      <c r="I373" s="18">
        <v>360</v>
      </c>
      <c r="J373" s="18">
        <v>11000</v>
      </c>
      <c r="K373" s="18">
        <v>18000</v>
      </c>
      <c r="L373" s="18">
        <v>0</v>
      </c>
      <c r="M373" s="18">
        <v>10</v>
      </c>
      <c r="N373" s="18">
        <v>100</v>
      </c>
      <c r="O373" s="18">
        <v>182</v>
      </c>
      <c r="P373" s="18">
        <v>205</v>
      </c>
      <c r="Q373" s="18">
        <f>#REF!/#REF!</f>
        <v>0.56944444444444442</v>
      </c>
      <c r="R373" s="18"/>
      <c r="S373" s="18"/>
      <c r="T373" s="18">
        <v>1</v>
      </c>
      <c r="U373" s="18"/>
      <c r="V373" s="18"/>
      <c r="W373" s="18"/>
      <c r="X373" s="18"/>
      <c r="Y373" s="18"/>
      <c r="Z373" s="18">
        <v>0</v>
      </c>
      <c r="AA373" s="18">
        <v>0</v>
      </c>
      <c r="AB373" s="18"/>
      <c r="AC373" s="18"/>
      <c r="AD373" s="18">
        <v>50</v>
      </c>
      <c r="AE373" s="18">
        <v>384</v>
      </c>
      <c r="AF373" s="18">
        <v>575</v>
      </c>
      <c r="AG373" s="18" t="s">
        <v>41</v>
      </c>
      <c r="AH373" s="18" t="s">
        <v>41</v>
      </c>
      <c r="AI373" s="18" t="s">
        <v>813</v>
      </c>
      <c r="AJ373" s="18">
        <v>1</v>
      </c>
      <c r="AK373" s="18" t="s">
        <v>1475</v>
      </c>
      <c r="AL373" s="19" t="s">
        <v>41</v>
      </c>
    </row>
    <row r="374" spans="1:38">
      <c r="A374" s="17" t="s">
        <v>866</v>
      </c>
      <c r="B374" s="18" t="s">
        <v>806</v>
      </c>
      <c r="C374" s="18">
        <v>2</v>
      </c>
      <c r="D374" s="18" t="s">
        <v>867</v>
      </c>
      <c r="E374" s="18" t="s">
        <v>788</v>
      </c>
      <c r="F374" s="18" t="s">
        <v>41</v>
      </c>
      <c r="G374" s="18" t="s">
        <v>866</v>
      </c>
      <c r="H374" s="18">
        <v>152</v>
      </c>
      <c r="I374" s="18">
        <v>68000</v>
      </c>
      <c r="J374" s="18">
        <v>800000</v>
      </c>
      <c r="K374" s="18">
        <v>1400000</v>
      </c>
      <c r="L374" s="18">
        <v>0</v>
      </c>
      <c r="M374" s="18">
        <v>0</v>
      </c>
      <c r="N374" s="18">
        <v>0</v>
      </c>
      <c r="O374" s="18">
        <v>0</v>
      </c>
      <c r="P374" s="18">
        <v>33500</v>
      </c>
      <c r="Q374" s="18">
        <f>#REF!/#REF!</f>
        <v>0.49264705882352944</v>
      </c>
      <c r="R374" s="18"/>
      <c r="S374" s="18"/>
      <c r="T374" s="18"/>
      <c r="U374" s="18"/>
      <c r="V374" s="18"/>
      <c r="W374" s="18"/>
      <c r="X374" s="18"/>
      <c r="Y374" s="18">
        <v>1</v>
      </c>
      <c r="Z374" s="18">
        <v>2727</v>
      </c>
      <c r="AA374" s="18">
        <v>6100</v>
      </c>
      <c r="AB374" s="18"/>
      <c r="AC374" s="18"/>
      <c r="AD374" s="18"/>
      <c r="AE374" s="18">
        <v>700</v>
      </c>
      <c r="AF374" s="18">
        <v>1050</v>
      </c>
      <c r="AG374" s="18" t="s">
        <v>41</v>
      </c>
      <c r="AH374" s="18" t="s">
        <v>124</v>
      </c>
      <c r="AI374" s="18" t="s">
        <v>41</v>
      </c>
      <c r="AJ374" s="18">
        <v>1</v>
      </c>
      <c r="AK374" s="18" t="s">
        <v>1505</v>
      </c>
      <c r="AL374" s="19" t="s">
        <v>41</v>
      </c>
    </row>
    <row r="375" spans="1:38">
      <c r="A375" s="17" t="s">
        <v>1149</v>
      </c>
      <c r="B375" s="18" t="s">
        <v>806</v>
      </c>
      <c r="C375" s="18">
        <v>2</v>
      </c>
      <c r="D375" s="18" t="s">
        <v>1150</v>
      </c>
      <c r="E375" s="18" t="s">
        <v>1151</v>
      </c>
      <c r="F375" s="18" t="s">
        <v>41</v>
      </c>
      <c r="G375" s="18" t="s">
        <v>1149</v>
      </c>
      <c r="H375" s="18">
        <v>12</v>
      </c>
      <c r="I375" s="18">
        <v>755</v>
      </c>
      <c r="J375" s="18">
        <v>27000</v>
      </c>
      <c r="K375" s="18">
        <v>17000</v>
      </c>
      <c r="L375" s="18">
        <v>0</v>
      </c>
      <c r="M375" s="18">
        <v>0</v>
      </c>
      <c r="N375" s="18">
        <v>0</v>
      </c>
      <c r="O375" s="18">
        <v>84</v>
      </c>
      <c r="P375" s="18">
        <v>355</v>
      </c>
      <c r="Q375" s="18">
        <f>#REF!/#REF!</f>
        <v>0.47019867549668876</v>
      </c>
      <c r="R375" s="18">
        <v>1</v>
      </c>
      <c r="S375" s="18"/>
      <c r="T375" s="18"/>
      <c r="U375" s="18"/>
      <c r="V375" s="18"/>
      <c r="W375" s="18"/>
      <c r="X375" s="18"/>
      <c r="Y375" s="18"/>
      <c r="Z375" s="18">
        <v>2700</v>
      </c>
      <c r="AA375" s="18">
        <v>42</v>
      </c>
      <c r="AB375" s="18"/>
      <c r="AC375" s="18"/>
      <c r="AD375" s="18"/>
      <c r="AE375" s="18">
        <v>260</v>
      </c>
      <c r="AF375" s="18">
        <v>390</v>
      </c>
      <c r="AG375" s="18" t="s">
        <v>98</v>
      </c>
      <c r="AH375" s="18" t="s">
        <v>773</v>
      </c>
      <c r="AI375" s="18" t="s">
        <v>41</v>
      </c>
      <c r="AJ375" s="18">
        <v>1</v>
      </c>
      <c r="AK375" s="18" t="s">
        <v>1633</v>
      </c>
      <c r="AL375" s="19" t="s">
        <v>41</v>
      </c>
    </row>
    <row r="376" spans="1:38">
      <c r="A376" s="17" t="s">
        <v>786</v>
      </c>
      <c r="B376" s="18" t="s">
        <v>38</v>
      </c>
      <c r="C376" s="18">
        <v>2</v>
      </c>
      <c r="D376" s="18" t="s">
        <v>787</v>
      </c>
      <c r="E376" s="18" t="s">
        <v>788</v>
      </c>
      <c r="F376" s="18" t="s">
        <v>41</v>
      </c>
      <c r="G376" s="18" t="s">
        <v>786</v>
      </c>
      <c r="H376" s="18">
        <v>148</v>
      </c>
      <c r="I376" s="18">
        <v>70000</v>
      </c>
      <c r="J376" s="18">
        <v>830000</v>
      </c>
      <c r="K376" s="18">
        <v>1400000</v>
      </c>
      <c r="L376" s="18">
        <v>0</v>
      </c>
      <c r="M376" s="18">
        <v>0</v>
      </c>
      <c r="N376" s="18">
        <v>0</v>
      </c>
      <c r="O376" s="18">
        <v>0</v>
      </c>
      <c r="P376" s="18">
        <v>32000</v>
      </c>
      <c r="Q376" s="18">
        <f>#REF!/#REF!</f>
        <v>0.45714285714285713</v>
      </c>
      <c r="R376" s="18"/>
      <c r="S376" s="18"/>
      <c r="T376" s="18"/>
      <c r="U376" s="18"/>
      <c r="V376" s="18"/>
      <c r="W376" s="18"/>
      <c r="X376" s="18"/>
      <c r="Y376" s="18">
        <v>1</v>
      </c>
      <c r="Z376" s="18">
        <v>2708</v>
      </c>
      <c r="AA376" s="18">
        <v>5750</v>
      </c>
      <c r="AB376" s="18"/>
      <c r="AC376" s="18"/>
      <c r="AD376" s="18"/>
      <c r="AE376" s="18">
        <v>700</v>
      </c>
      <c r="AF376" s="18">
        <v>1050</v>
      </c>
      <c r="AG376" s="18" t="s">
        <v>41</v>
      </c>
      <c r="AH376" s="18" t="s">
        <v>124</v>
      </c>
      <c r="AI376" s="18" t="s">
        <v>41</v>
      </c>
      <c r="AJ376" s="18">
        <v>1</v>
      </c>
      <c r="AK376" s="18" t="s">
        <v>1468</v>
      </c>
      <c r="AL376" s="19" t="s">
        <v>41</v>
      </c>
    </row>
    <row r="377" spans="1:38">
      <c r="A377" s="17" t="s">
        <v>532</v>
      </c>
      <c r="B377" s="18" t="s">
        <v>38</v>
      </c>
      <c r="C377" s="18">
        <v>1</v>
      </c>
      <c r="D377" s="18" t="s">
        <v>533</v>
      </c>
      <c r="E377" s="18" t="s">
        <v>533</v>
      </c>
      <c r="F377" s="18" t="s">
        <v>41</v>
      </c>
      <c r="G377" s="18" t="s">
        <v>376</v>
      </c>
      <c r="H377" s="18">
        <v>8</v>
      </c>
      <c r="I377" s="18">
        <v>25</v>
      </c>
      <c r="J377" s="18">
        <v>1050</v>
      </c>
      <c r="K377" s="18">
        <v>300</v>
      </c>
      <c r="L377" s="18">
        <v>0</v>
      </c>
      <c r="M377" s="18">
        <v>0</v>
      </c>
      <c r="N377" s="18">
        <v>0</v>
      </c>
      <c r="O377" s="18">
        <v>0</v>
      </c>
      <c r="P377" s="18">
        <v>11</v>
      </c>
      <c r="Q377" s="18">
        <f>#REF!/#REF!</f>
        <v>0.44</v>
      </c>
      <c r="R377" s="18"/>
      <c r="S377" s="18"/>
      <c r="T377" s="18"/>
      <c r="U377" s="18"/>
      <c r="V377" s="18"/>
      <c r="W377" s="18"/>
      <c r="X377" s="18"/>
      <c r="Y377" s="18">
        <v>1</v>
      </c>
      <c r="Z377" s="18">
        <v>1110</v>
      </c>
      <c r="AA377" s="18">
        <v>0</v>
      </c>
      <c r="AB377" s="18"/>
      <c r="AC377" s="18"/>
      <c r="AD377" s="18"/>
      <c r="AE377" s="18">
        <v>83</v>
      </c>
      <c r="AF377" s="18">
        <v>125</v>
      </c>
      <c r="AG377" s="18" t="s">
        <v>109</v>
      </c>
      <c r="AH377" s="18" t="s">
        <v>41</v>
      </c>
      <c r="AI377" s="18" t="s">
        <v>41</v>
      </c>
      <c r="AJ377" s="18">
        <v>1</v>
      </c>
      <c r="AK377" s="18" t="s">
        <v>1398</v>
      </c>
      <c r="AL377" s="19" t="s">
        <v>41</v>
      </c>
    </row>
    <row r="378" spans="1:38">
      <c r="A378" s="17" t="s">
        <v>1055</v>
      </c>
      <c r="B378" s="18" t="s">
        <v>806</v>
      </c>
      <c r="C378" s="18">
        <v>1</v>
      </c>
      <c r="D378" s="18" t="s">
        <v>533</v>
      </c>
      <c r="E378" s="18" t="s">
        <v>533</v>
      </c>
      <c r="F378" s="18" t="s">
        <v>41</v>
      </c>
      <c r="G378" s="18" t="s">
        <v>376</v>
      </c>
      <c r="H378" s="18">
        <v>8</v>
      </c>
      <c r="I378" s="18">
        <v>25</v>
      </c>
      <c r="J378" s="18">
        <v>1050</v>
      </c>
      <c r="K378" s="18">
        <v>300</v>
      </c>
      <c r="L378" s="18">
        <v>0</v>
      </c>
      <c r="M378" s="18">
        <v>0</v>
      </c>
      <c r="N378" s="18">
        <v>0</v>
      </c>
      <c r="O378" s="18">
        <v>0</v>
      </c>
      <c r="P378" s="18">
        <v>11</v>
      </c>
      <c r="Q378" s="18">
        <f>#REF!/#REF!</f>
        <v>0.44</v>
      </c>
      <c r="R378" s="18"/>
      <c r="S378" s="18"/>
      <c r="T378" s="18"/>
      <c r="U378" s="18"/>
      <c r="V378" s="18"/>
      <c r="W378" s="18"/>
      <c r="X378" s="18"/>
      <c r="Y378" s="18">
        <v>1</v>
      </c>
      <c r="Z378" s="18">
        <v>1110</v>
      </c>
      <c r="AA378" s="18">
        <v>0</v>
      </c>
      <c r="AB378" s="18"/>
      <c r="AC378" s="18"/>
      <c r="AD378" s="18"/>
      <c r="AE378" s="18">
        <v>83</v>
      </c>
      <c r="AF378" s="18">
        <v>125</v>
      </c>
      <c r="AG378" s="18" t="s">
        <v>109</v>
      </c>
      <c r="AH378" s="18" t="s">
        <v>41</v>
      </c>
      <c r="AI378" s="18" t="s">
        <v>41</v>
      </c>
      <c r="AJ378" s="18">
        <v>1</v>
      </c>
      <c r="AK378" s="18" t="s">
        <v>1588</v>
      </c>
      <c r="AL378" s="19" t="s">
        <v>41</v>
      </c>
    </row>
    <row r="379" spans="1:38">
      <c r="A379" s="17" t="s">
        <v>373</v>
      </c>
      <c r="B379" s="18" t="s">
        <v>38</v>
      </c>
      <c r="C379" s="18">
        <v>1</v>
      </c>
      <c r="D379" s="18" t="s">
        <v>374</v>
      </c>
      <c r="E379" s="18" t="s">
        <v>375</v>
      </c>
      <c r="F379" s="18" t="s">
        <v>41</v>
      </c>
      <c r="G379" s="18" t="s">
        <v>376</v>
      </c>
      <c r="H379" s="18">
        <v>12</v>
      </c>
      <c r="I379" s="18">
        <v>32</v>
      </c>
      <c r="J379" s="18">
        <v>1600</v>
      </c>
      <c r="K379" s="18">
        <v>400</v>
      </c>
      <c r="L379" s="18">
        <v>0</v>
      </c>
      <c r="M379" s="18">
        <v>0</v>
      </c>
      <c r="N379" s="18">
        <v>0</v>
      </c>
      <c r="O379" s="18">
        <v>0</v>
      </c>
      <c r="P379" s="18">
        <v>11</v>
      </c>
      <c r="Q379" s="18">
        <f>#REF!/#REF!</f>
        <v>0.34375</v>
      </c>
      <c r="R379" s="18"/>
      <c r="S379" s="18"/>
      <c r="T379" s="18"/>
      <c r="U379" s="18"/>
      <c r="V379" s="18"/>
      <c r="W379" s="18"/>
      <c r="X379" s="18"/>
      <c r="Y379" s="18">
        <v>1</v>
      </c>
      <c r="Z379" s="18">
        <v>1940</v>
      </c>
      <c r="AA379" s="18">
        <v>0</v>
      </c>
      <c r="AB379" s="18"/>
      <c r="AC379" s="18"/>
      <c r="AD379" s="18"/>
      <c r="AE379" s="18">
        <v>78</v>
      </c>
      <c r="AF379" s="18">
        <v>117</v>
      </c>
      <c r="AG379" s="18" t="s">
        <v>377</v>
      </c>
      <c r="AH379" s="18" t="s">
        <v>41</v>
      </c>
      <c r="AI379" s="18" t="s">
        <v>41</v>
      </c>
      <c r="AJ379" s="18">
        <v>1</v>
      </c>
      <c r="AK379" s="18" t="s">
        <v>1353</v>
      </c>
      <c r="AL379" s="19" t="s">
        <v>41</v>
      </c>
    </row>
    <row r="380" spans="1:38">
      <c r="A380" s="17" t="s">
        <v>960</v>
      </c>
      <c r="B380" s="18" t="s">
        <v>806</v>
      </c>
      <c r="C380" s="18">
        <v>1</v>
      </c>
      <c r="D380" s="18" t="s">
        <v>374</v>
      </c>
      <c r="E380" s="18" t="s">
        <v>375</v>
      </c>
      <c r="F380" s="18" t="s">
        <v>41</v>
      </c>
      <c r="G380" s="18" t="s">
        <v>376</v>
      </c>
      <c r="H380" s="18">
        <v>12</v>
      </c>
      <c r="I380" s="18">
        <v>32</v>
      </c>
      <c r="J380" s="18">
        <v>1600</v>
      </c>
      <c r="K380" s="18">
        <v>400</v>
      </c>
      <c r="L380" s="18">
        <v>0</v>
      </c>
      <c r="M380" s="18">
        <v>0</v>
      </c>
      <c r="N380" s="18">
        <v>0</v>
      </c>
      <c r="O380" s="18">
        <v>0</v>
      </c>
      <c r="P380" s="18">
        <v>11</v>
      </c>
      <c r="Q380" s="18">
        <f>#REF!/#REF!</f>
        <v>0.34375</v>
      </c>
      <c r="R380" s="18"/>
      <c r="S380" s="18"/>
      <c r="T380" s="18"/>
      <c r="U380" s="18"/>
      <c r="V380" s="18"/>
      <c r="W380" s="18"/>
      <c r="X380" s="18"/>
      <c r="Y380" s="18">
        <v>1</v>
      </c>
      <c r="Z380" s="18">
        <v>1940</v>
      </c>
      <c r="AA380" s="18">
        <v>0</v>
      </c>
      <c r="AB380" s="18"/>
      <c r="AC380" s="18"/>
      <c r="AD380" s="18"/>
      <c r="AE380" s="18">
        <v>72</v>
      </c>
      <c r="AF380" s="18">
        <v>107</v>
      </c>
      <c r="AG380" s="18" t="s">
        <v>377</v>
      </c>
      <c r="AH380" s="18" t="s">
        <v>41</v>
      </c>
      <c r="AI380" s="18" t="s">
        <v>41</v>
      </c>
      <c r="AJ380" s="18">
        <v>1</v>
      </c>
      <c r="AK380" s="18" t="s">
        <v>1542</v>
      </c>
      <c r="AL380" s="19" t="s">
        <v>41</v>
      </c>
    </row>
    <row r="381" spans="1:38">
      <c r="A381" s="17" t="s">
        <v>534</v>
      </c>
      <c r="B381" s="18" t="s">
        <v>38</v>
      </c>
      <c r="C381" s="18">
        <v>1</v>
      </c>
      <c r="D381" s="18" t="s">
        <v>374</v>
      </c>
      <c r="E381" s="18" t="s">
        <v>374</v>
      </c>
      <c r="F381" s="18" t="s">
        <v>41</v>
      </c>
      <c r="G381" s="18" t="s">
        <v>376</v>
      </c>
      <c r="H381" s="18">
        <v>12</v>
      </c>
      <c r="I381" s="18">
        <v>50</v>
      </c>
      <c r="J381" s="18">
        <v>2800</v>
      </c>
      <c r="K381" s="18">
        <v>700</v>
      </c>
      <c r="L381" s="18">
        <v>0</v>
      </c>
      <c r="M381" s="18">
        <v>0</v>
      </c>
      <c r="N381" s="18">
        <v>0</v>
      </c>
      <c r="O381" s="18">
        <v>0</v>
      </c>
      <c r="P381" s="18">
        <v>11</v>
      </c>
      <c r="Q381" s="18">
        <f>#REF!/#REF!</f>
        <v>0.22</v>
      </c>
      <c r="R381" s="18"/>
      <c r="S381" s="18"/>
      <c r="T381" s="18"/>
      <c r="U381" s="18"/>
      <c r="V381" s="18"/>
      <c r="W381" s="18"/>
      <c r="X381" s="18"/>
      <c r="Y381" s="18">
        <v>1</v>
      </c>
      <c r="Z381" s="18">
        <v>3000</v>
      </c>
      <c r="AA381" s="18">
        <v>0</v>
      </c>
      <c r="AB381" s="18"/>
      <c r="AC381" s="18"/>
      <c r="AD381" s="18"/>
      <c r="AE381" s="18">
        <v>83</v>
      </c>
      <c r="AF381" s="18">
        <v>125</v>
      </c>
      <c r="AG381" s="18" t="s">
        <v>109</v>
      </c>
      <c r="AH381" s="18" t="s">
        <v>41</v>
      </c>
      <c r="AI381" s="18" t="s">
        <v>41</v>
      </c>
      <c r="AJ381" s="18">
        <v>1</v>
      </c>
      <c r="AK381" s="18" t="s">
        <v>1399</v>
      </c>
      <c r="AL381" s="19" t="s">
        <v>41</v>
      </c>
    </row>
    <row r="382" spans="1:38">
      <c r="A382" s="17" t="s">
        <v>1056</v>
      </c>
      <c r="B382" s="18" t="s">
        <v>806</v>
      </c>
      <c r="C382" s="18">
        <v>1</v>
      </c>
      <c r="D382" s="18" t="s">
        <v>374</v>
      </c>
      <c r="E382" s="18" t="s">
        <v>374</v>
      </c>
      <c r="F382" s="18" t="s">
        <v>41</v>
      </c>
      <c r="G382" s="18" t="s">
        <v>376</v>
      </c>
      <c r="H382" s="18">
        <v>12</v>
      </c>
      <c r="I382" s="18">
        <v>50</v>
      </c>
      <c r="J382" s="18">
        <v>2800</v>
      </c>
      <c r="K382" s="18">
        <v>700</v>
      </c>
      <c r="L382" s="18">
        <v>0</v>
      </c>
      <c r="M382" s="18">
        <v>0</v>
      </c>
      <c r="N382" s="18">
        <v>0</v>
      </c>
      <c r="O382" s="18">
        <v>0</v>
      </c>
      <c r="P382" s="18">
        <v>11</v>
      </c>
      <c r="Q382" s="18">
        <f>#REF!/#REF!</f>
        <v>0.22</v>
      </c>
      <c r="R382" s="18"/>
      <c r="S382" s="18"/>
      <c r="T382" s="18"/>
      <c r="U382" s="18"/>
      <c r="V382" s="18"/>
      <c r="W382" s="18"/>
      <c r="X382" s="18"/>
      <c r="Y382" s="18">
        <v>1</v>
      </c>
      <c r="Z382" s="18">
        <v>3000</v>
      </c>
      <c r="AA382" s="18">
        <v>0</v>
      </c>
      <c r="AB382" s="18"/>
      <c r="AC382" s="18"/>
      <c r="AD382" s="18"/>
      <c r="AE382" s="18">
        <v>83</v>
      </c>
      <c r="AF382" s="18">
        <v>125</v>
      </c>
      <c r="AG382" s="18" t="s">
        <v>109</v>
      </c>
      <c r="AH382" s="18" t="s">
        <v>41</v>
      </c>
      <c r="AI382" s="18" t="s">
        <v>41</v>
      </c>
      <c r="AJ382" s="18">
        <v>1</v>
      </c>
      <c r="AK382" s="18" t="s">
        <v>1589</v>
      </c>
      <c r="AL382" s="19" t="s">
        <v>41</v>
      </c>
    </row>
    <row r="383" spans="1:38">
      <c r="A383" s="17" t="s">
        <v>1266</v>
      </c>
      <c r="B383" s="18" t="s">
        <v>38</v>
      </c>
      <c r="C383" s="18">
        <v>2</v>
      </c>
      <c r="D383" s="18" t="s">
        <v>1267</v>
      </c>
      <c r="E383" s="18" t="s">
        <v>1268</v>
      </c>
      <c r="F383" s="18"/>
      <c r="G383" s="18"/>
      <c r="H383" s="18"/>
      <c r="I383" s="18">
        <v>1000</v>
      </c>
      <c r="J383" s="18">
        <v>125000</v>
      </c>
      <c r="K383" s="18">
        <v>120</v>
      </c>
      <c r="L383" s="18"/>
      <c r="M383" s="18"/>
      <c r="N383" s="18"/>
      <c r="O383" s="18"/>
      <c r="P383" s="18"/>
      <c r="Q383" s="18">
        <f>#REF!/#REF!</f>
        <v>0</v>
      </c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9"/>
    </row>
    <row r="384" spans="1:38">
      <c r="A384" s="20" t="s">
        <v>1269</v>
      </c>
      <c r="B384" s="21" t="s">
        <v>806</v>
      </c>
      <c r="C384" s="21">
        <v>2</v>
      </c>
      <c r="D384" s="21" t="s">
        <v>1270</v>
      </c>
      <c r="E384" s="21" t="s">
        <v>1271</v>
      </c>
      <c r="F384" s="21"/>
      <c r="G384" s="21"/>
      <c r="H384" s="21"/>
      <c r="I384" s="21">
        <v>1500</v>
      </c>
      <c r="J384" s="21">
        <v>187500</v>
      </c>
      <c r="K384" s="21">
        <v>180</v>
      </c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2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2856-500F-4FD6-8548-D52BBCF52504}">
  <sheetPr codeName="Sheet3"/>
  <dimension ref="B2:B313"/>
  <sheetViews>
    <sheetView workbookViewId="0">
      <selection activeCell="C48" sqref="C48"/>
    </sheetView>
  </sheetViews>
  <sheetFormatPr defaultRowHeight="14.25"/>
  <cols>
    <col min="2" max="2" width="29.125" bestFit="1" customWidth="1"/>
    <col min="3" max="3" width="16.875" customWidth="1"/>
    <col min="4" max="4" width="29.125" bestFit="1" customWidth="1"/>
    <col min="5" max="7" width="7.375" bestFit="1" customWidth="1"/>
    <col min="8" max="8" width="9.75" bestFit="1" customWidth="1"/>
    <col min="9" max="9" width="7.375" bestFit="1" customWidth="1"/>
    <col min="10" max="10" width="10.25" bestFit="1" customWidth="1"/>
    <col min="11" max="11" width="8.25" bestFit="1" customWidth="1"/>
    <col min="12" max="12" width="8.75" bestFit="1" customWidth="1"/>
    <col min="13" max="13" width="6.625" bestFit="1" customWidth="1"/>
    <col min="14" max="14" width="8.125" bestFit="1" customWidth="1"/>
    <col min="15" max="16" width="8.25" bestFit="1" customWidth="1"/>
    <col min="17" max="17" width="9.25" bestFit="1" customWidth="1"/>
    <col min="18" max="18" width="9.375" bestFit="1" customWidth="1"/>
    <col min="19" max="19" width="10.375" bestFit="1" customWidth="1"/>
    <col min="20" max="20" width="8.625" bestFit="1" customWidth="1"/>
    <col min="21" max="21" width="8.25" bestFit="1" customWidth="1"/>
    <col min="22" max="22" width="11.75" bestFit="1" customWidth="1"/>
    <col min="23" max="23" width="6.625" bestFit="1" customWidth="1"/>
    <col min="24" max="24" width="8.25" bestFit="1" customWidth="1"/>
    <col min="25" max="25" width="6.875" bestFit="1" customWidth="1"/>
    <col min="26" max="26" width="8.25" bestFit="1" customWidth="1"/>
    <col min="27" max="27" width="8.75" bestFit="1" customWidth="1"/>
    <col min="28" max="28" width="7.625" bestFit="1" customWidth="1"/>
    <col min="29" max="29" width="14.625" bestFit="1" customWidth="1"/>
    <col min="30" max="30" width="7.375" bestFit="1" customWidth="1"/>
    <col min="31" max="31" width="6.75" bestFit="1" customWidth="1"/>
    <col min="32" max="32" width="8.75" bestFit="1" customWidth="1"/>
    <col min="33" max="33" width="7.625" bestFit="1" customWidth="1"/>
    <col min="34" max="34" width="8.875" bestFit="1" customWidth="1"/>
    <col min="35" max="35" width="9.625" bestFit="1" customWidth="1"/>
    <col min="36" max="36" width="8.25" bestFit="1" customWidth="1"/>
    <col min="37" max="37" width="11.25" bestFit="1" customWidth="1"/>
    <col min="38" max="38" width="10.625" bestFit="1" customWidth="1"/>
    <col min="39" max="39" width="9.375" bestFit="1" customWidth="1"/>
    <col min="40" max="40" width="9.25" bestFit="1" customWidth="1"/>
    <col min="42" max="42" width="7.875" bestFit="1" customWidth="1"/>
    <col min="43" max="43" width="6.375" bestFit="1" customWidth="1"/>
    <col min="44" max="44" width="6.625" bestFit="1" customWidth="1"/>
    <col min="45" max="45" width="6.75" bestFit="1" customWidth="1"/>
    <col min="46" max="46" width="6.375" bestFit="1" customWidth="1"/>
    <col min="47" max="47" width="9.25" bestFit="1" customWidth="1"/>
    <col min="48" max="48" width="8.375" bestFit="1" customWidth="1"/>
    <col min="49" max="49" width="8.25" bestFit="1" customWidth="1"/>
    <col min="50" max="50" width="10.375" bestFit="1" customWidth="1"/>
    <col min="51" max="52" width="8.25" bestFit="1" customWidth="1"/>
    <col min="53" max="53" width="6.375" bestFit="1" customWidth="1"/>
    <col min="54" max="54" width="7.375" bestFit="1" customWidth="1"/>
    <col min="55" max="55" width="6.375" bestFit="1" customWidth="1"/>
    <col min="56" max="56" width="11" bestFit="1" customWidth="1"/>
    <col min="57" max="57" width="12.75" bestFit="1" customWidth="1"/>
    <col min="58" max="58" width="10.625" bestFit="1" customWidth="1"/>
    <col min="59" max="59" width="6.25" bestFit="1" customWidth="1"/>
    <col min="60" max="60" width="7.875" bestFit="1" customWidth="1"/>
    <col min="61" max="61" width="6.125" bestFit="1" customWidth="1"/>
    <col min="62" max="62" width="8.25" bestFit="1" customWidth="1"/>
    <col min="63" max="63" width="8.375" bestFit="1" customWidth="1"/>
    <col min="64" max="64" width="10" bestFit="1" customWidth="1"/>
    <col min="66" max="66" width="8.75" bestFit="1" customWidth="1"/>
    <col min="67" max="67" width="7.875" bestFit="1" customWidth="1"/>
    <col min="68" max="68" width="8.25" bestFit="1" customWidth="1"/>
    <col min="69" max="69" width="7.875" bestFit="1" customWidth="1"/>
    <col min="70" max="70" width="7.625" bestFit="1" customWidth="1"/>
    <col min="71" max="71" width="7.125" bestFit="1" customWidth="1"/>
    <col min="72" max="72" width="8.375" bestFit="1" customWidth="1"/>
    <col min="73" max="73" width="9" bestFit="1" customWidth="1"/>
    <col min="74" max="74" width="12.375" bestFit="1" customWidth="1"/>
    <col min="75" max="75" width="9.625" bestFit="1" customWidth="1"/>
    <col min="76" max="76" width="8.375" bestFit="1" customWidth="1"/>
    <col min="77" max="77" width="7.625" bestFit="1" customWidth="1"/>
    <col min="78" max="78" width="7.375" bestFit="1" customWidth="1"/>
    <col min="79" max="79" width="8" bestFit="1" customWidth="1"/>
    <col min="80" max="80" width="6.75" bestFit="1" customWidth="1"/>
    <col min="81" max="81" width="7.75" bestFit="1" customWidth="1"/>
    <col min="82" max="82" width="8.875" bestFit="1" customWidth="1"/>
    <col min="83" max="83" width="7.875" bestFit="1" customWidth="1"/>
    <col min="84" max="84" width="10.75" bestFit="1" customWidth="1"/>
    <col min="85" max="85" width="8.625" bestFit="1" customWidth="1"/>
    <col min="86" max="86" width="7.75" bestFit="1" customWidth="1"/>
    <col min="87" max="87" width="8" bestFit="1" customWidth="1"/>
    <col min="88" max="88" width="6.625" bestFit="1" customWidth="1"/>
    <col min="89" max="89" width="7.25" bestFit="1" customWidth="1"/>
    <col min="90" max="90" width="8.25" bestFit="1" customWidth="1"/>
    <col min="91" max="91" width="7.75" bestFit="1" customWidth="1"/>
    <col min="92" max="92" width="8.875" bestFit="1" customWidth="1"/>
    <col min="93" max="93" width="11.25" bestFit="1" customWidth="1"/>
    <col min="94" max="94" width="9.375" bestFit="1" customWidth="1"/>
    <col min="95" max="95" width="8.25" bestFit="1" customWidth="1"/>
    <col min="96" max="96" width="9" bestFit="1" customWidth="1"/>
    <col min="97" max="97" width="6.875" bestFit="1" customWidth="1"/>
    <col min="98" max="98" width="6.75" bestFit="1" customWidth="1"/>
    <col min="99" max="99" width="7.75" bestFit="1" customWidth="1"/>
    <col min="100" max="100" width="8.375" bestFit="1" customWidth="1"/>
    <col min="101" max="101" width="9.25" bestFit="1" customWidth="1"/>
    <col min="102" max="102" width="8" bestFit="1" customWidth="1"/>
    <col min="103" max="103" width="8.375" bestFit="1" customWidth="1"/>
    <col min="104" max="104" width="8.125" bestFit="1" customWidth="1"/>
    <col min="105" max="105" width="10.375" bestFit="1" customWidth="1"/>
    <col min="106" max="106" width="7.125" bestFit="1" customWidth="1"/>
    <col min="107" max="107" width="9.25" bestFit="1" customWidth="1"/>
    <col min="108" max="109" width="8.875" bestFit="1" customWidth="1"/>
    <col min="110" max="110" width="10.625" bestFit="1" customWidth="1"/>
    <col min="111" max="111" width="6.25" bestFit="1" customWidth="1"/>
    <col min="112" max="112" width="8.875" bestFit="1" customWidth="1"/>
    <col min="113" max="113" width="7.25" bestFit="1" customWidth="1"/>
    <col min="114" max="114" width="12.75" bestFit="1" customWidth="1"/>
    <col min="115" max="115" width="8.875" bestFit="1" customWidth="1"/>
    <col min="116" max="116" width="10" bestFit="1" customWidth="1"/>
    <col min="117" max="117" width="7.875" bestFit="1" customWidth="1"/>
    <col min="118" max="118" width="8.875" bestFit="1" customWidth="1"/>
    <col min="119" max="119" width="8.625" bestFit="1" customWidth="1"/>
    <col min="120" max="120" width="8.125" bestFit="1" customWidth="1"/>
    <col min="121" max="121" width="12.25" bestFit="1" customWidth="1"/>
    <col min="122" max="122" width="11.875" bestFit="1" customWidth="1"/>
    <col min="123" max="123" width="8.625" bestFit="1" customWidth="1"/>
    <col min="124" max="124" width="8.25" bestFit="1" customWidth="1"/>
    <col min="125" max="125" width="7.25" bestFit="1" customWidth="1"/>
    <col min="126" max="128" width="10" bestFit="1" customWidth="1"/>
    <col min="129" max="130" width="7.75" bestFit="1" customWidth="1"/>
    <col min="131" max="132" width="9.625" bestFit="1" customWidth="1"/>
    <col min="133" max="133" width="10" bestFit="1" customWidth="1"/>
    <col min="134" max="134" width="9.75" bestFit="1" customWidth="1"/>
    <col min="135" max="135" width="10.625" bestFit="1" customWidth="1"/>
    <col min="136" max="136" width="14.125" bestFit="1" customWidth="1"/>
    <col min="137" max="137" width="6.75" bestFit="1" customWidth="1"/>
    <col min="138" max="138" width="9" bestFit="1" customWidth="1"/>
    <col min="139" max="139" width="10.125" bestFit="1" customWidth="1"/>
    <col min="140" max="140" width="7.875" bestFit="1" customWidth="1"/>
    <col min="141" max="141" width="8.25" bestFit="1" customWidth="1"/>
    <col min="142" max="142" width="9.375" bestFit="1" customWidth="1"/>
    <col min="143" max="143" width="11.125" bestFit="1" customWidth="1"/>
    <col min="144" max="144" width="6.25" bestFit="1" customWidth="1"/>
    <col min="145" max="145" width="6.875" bestFit="1" customWidth="1"/>
    <col min="146" max="146" width="8" bestFit="1" customWidth="1"/>
    <col min="147" max="147" width="7" bestFit="1" customWidth="1"/>
    <col min="148" max="148" width="8.75" bestFit="1" customWidth="1"/>
    <col min="149" max="149" width="7.25" bestFit="1" customWidth="1"/>
    <col min="150" max="150" width="10.375" bestFit="1" customWidth="1"/>
    <col min="151" max="151" width="7" bestFit="1" customWidth="1"/>
    <col min="152" max="152" width="7.875" bestFit="1" customWidth="1"/>
    <col min="153" max="153" width="8.75" bestFit="1" customWidth="1"/>
    <col min="154" max="154" width="5.75" bestFit="1" customWidth="1"/>
    <col min="155" max="155" width="8.25" bestFit="1" customWidth="1"/>
    <col min="156" max="156" width="7.25" bestFit="1" customWidth="1"/>
    <col min="157" max="157" width="9.375" bestFit="1" customWidth="1"/>
    <col min="158" max="158" width="8.125" bestFit="1" customWidth="1"/>
    <col min="159" max="159" width="6.625" bestFit="1" customWidth="1"/>
    <col min="160" max="160" width="8.625" bestFit="1" customWidth="1"/>
    <col min="161" max="161" width="6.625" bestFit="1" customWidth="1"/>
    <col min="162" max="162" width="8.75" bestFit="1" customWidth="1"/>
    <col min="163" max="163" width="8.375" bestFit="1" customWidth="1"/>
    <col min="164" max="164" width="9.75" bestFit="1" customWidth="1"/>
    <col min="165" max="165" width="8.375" bestFit="1" customWidth="1"/>
    <col min="166" max="166" width="10.125" bestFit="1" customWidth="1"/>
    <col min="167" max="167" width="7.75" bestFit="1" customWidth="1"/>
    <col min="168" max="168" width="6.625" bestFit="1" customWidth="1"/>
    <col min="169" max="169" width="8.875" bestFit="1" customWidth="1"/>
    <col min="170" max="170" width="11.375" bestFit="1" customWidth="1"/>
    <col min="171" max="171" width="7.75" bestFit="1" customWidth="1"/>
    <col min="172" max="172" width="8.75" bestFit="1" customWidth="1"/>
    <col min="173" max="173" width="9.375" bestFit="1" customWidth="1"/>
    <col min="174" max="174" width="8.875" bestFit="1" customWidth="1"/>
    <col min="175" max="176" width="8.25" bestFit="1" customWidth="1"/>
    <col min="177" max="177" width="10" bestFit="1" customWidth="1"/>
    <col min="178" max="178" width="7.625" bestFit="1" customWidth="1"/>
    <col min="179" max="179" width="7.25" bestFit="1" customWidth="1"/>
    <col min="180" max="180" width="10.125" bestFit="1" customWidth="1"/>
    <col min="181" max="181" width="7.75" bestFit="1" customWidth="1"/>
    <col min="182" max="182" width="8.75" bestFit="1" customWidth="1"/>
    <col min="183" max="183" width="6.375" bestFit="1" customWidth="1"/>
    <col min="184" max="184" width="7.875" bestFit="1" customWidth="1"/>
    <col min="185" max="185" width="8.125" bestFit="1" customWidth="1"/>
    <col min="186" max="186" width="9.75" bestFit="1" customWidth="1"/>
    <col min="187" max="187" width="11.375" bestFit="1" customWidth="1"/>
    <col min="188" max="188" width="8" bestFit="1" customWidth="1"/>
    <col min="189" max="189" width="5.75" bestFit="1" customWidth="1"/>
    <col min="190" max="190" width="12.25" bestFit="1" customWidth="1"/>
    <col min="191" max="191" width="12.875" bestFit="1" customWidth="1"/>
    <col min="192" max="192" width="11.25" bestFit="1" customWidth="1"/>
    <col min="194" max="194" width="9.875" bestFit="1" customWidth="1"/>
    <col min="195" max="195" width="10.25" bestFit="1" customWidth="1"/>
    <col min="196" max="196" width="11.625" bestFit="1" customWidth="1"/>
    <col min="197" max="197" width="12.125" bestFit="1" customWidth="1"/>
    <col min="198" max="198" width="9.75" bestFit="1" customWidth="1"/>
    <col min="199" max="199" width="9.375" bestFit="1" customWidth="1"/>
    <col min="200" max="200" width="11.125" bestFit="1" customWidth="1"/>
    <col min="201" max="201" width="8.625" bestFit="1" customWidth="1"/>
    <col min="202" max="202" width="7.75" bestFit="1" customWidth="1"/>
    <col min="203" max="203" width="6.625" bestFit="1" customWidth="1"/>
    <col min="204" max="204" width="8.125" bestFit="1" customWidth="1"/>
    <col min="205" max="206" width="7.625" bestFit="1" customWidth="1"/>
    <col min="207" max="207" width="8.25" bestFit="1" customWidth="1"/>
    <col min="208" max="208" width="8.625" bestFit="1" customWidth="1"/>
    <col min="209" max="209" width="6.875" bestFit="1" customWidth="1"/>
    <col min="210" max="210" width="7" bestFit="1" customWidth="1"/>
    <col min="211" max="212" width="6.875" bestFit="1" customWidth="1"/>
    <col min="214" max="214" width="6.875" bestFit="1" customWidth="1"/>
    <col min="215" max="215" width="9.75" bestFit="1" customWidth="1"/>
    <col min="216" max="216" width="7.75" bestFit="1" customWidth="1"/>
    <col min="217" max="217" width="8.125" bestFit="1" customWidth="1"/>
    <col min="218" max="218" width="6" bestFit="1" customWidth="1"/>
    <col min="219" max="219" width="5.875" bestFit="1" customWidth="1"/>
    <col min="220" max="221" width="7.625" bestFit="1" customWidth="1"/>
    <col min="222" max="222" width="8.875" bestFit="1" customWidth="1"/>
    <col min="223" max="223" width="9.875" bestFit="1" customWidth="1"/>
    <col min="224" max="224" width="11.125" bestFit="1" customWidth="1"/>
    <col min="225" max="225" width="6" bestFit="1" customWidth="1"/>
    <col min="226" max="226" width="7.125" bestFit="1" customWidth="1"/>
    <col min="227" max="228" width="7.75" bestFit="1" customWidth="1"/>
    <col min="229" max="229" width="8.125" bestFit="1" customWidth="1"/>
    <col min="230" max="230" width="7" bestFit="1" customWidth="1"/>
    <col min="231" max="231" width="6.875" bestFit="1" customWidth="1"/>
    <col min="232" max="232" width="6.125" bestFit="1" customWidth="1"/>
    <col min="233" max="233" width="7" bestFit="1" customWidth="1"/>
    <col min="234" max="234" width="8.25" bestFit="1" customWidth="1"/>
    <col min="235" max="235" width="7.125" bestFit="1" customWidth="1"/>
    <col min="236" max="236" width="7.75" bestFit="1" customWidth="1"/>
    <col min="237" max="237" width="9.75" bestFit="1" customWidth="1"/>
    <col min="238" max="238" width="10.75" bestFit="1" customWidth="1"/>
    <col min="239" max="239" width="7.875" bestFit="1" customWidth="1"/>
    <col min="240" max="240" width="6.375" bestFit="1" customWidth="1"/>
    <col min="241" max="241" width="5.875" bestFit="1" customWidth="1"/>
    <col min="242" max="242" width="7" bestFit="1" customWidth="1"/>
    <col min="243" max="243" width="6.625" bestFit="1" customWidth="1"/>
    <col min="244" max="244" width="6" bestFit="1" customWidth="1"/>
    <col min="245" max="245" width="5.875" bestFit="1" customWidth="1"/>
    <col min="246" max="246" width="7.75" bestFit="1" customWidth="1"/>
    <col min="247" max="247" width="8.75" bestFit="1" customWidth="1"/>
    <col min="248" max="248" width="7.75" bestFit="1" customWidth="1"/>
    <col min="249" max="249" width="7" bestFit="1" customWidth="1"/>
    <col min="250" max="250" width="8.125" bestFit="1" customWidth="1"/>
    <col min="251" max="251" width="8.75" bestFit="1" customWidth="1"/>
    <col min="252" max="252" width="5.875" bestFit="1" customWidth="1"/>
    <col min="253" max="253" width="6.875" bestFit="1" customWidth="1"/>
    <col min="254" max="254" width="6.75" bestFit="1" customWidth="1"/>
    <col min="255" max="255" width="5.875" bestFit="1" customWidth="1"/>
    <col min="256" max="256" width="10" bestFit="1" customWidth="1"/>
    <col min="257" max="257" width="10.125" bestFit="1" customWidth="1"/>
    <col min="258" max="258" width="5.625" bestFit="1" customWidth="1"/>
    <col min="259" max="259" width="9" bestFit="1" customWidth="1"/>
    <col min="260" max="260" width="7.75" bestFit="1" customWidth="1"/>
    <col min="261" max="261" width="16" bestFit="1" customWidth="1"/>
    <col min="262" max="262" width="8.125" bestFit="1" customWidth="1"/>
    <col min="263" max="263" width="7.875" bestFit="1" customWidth="1"/>
    <col min="264" max="264" width="8.625" bestFit="1" customWidth="1"/>
    <col min="265" max="265" width="9.375" bestFit="1" customWidth="1"/>
    <col min="266" max="266" width="11.125" bestFit="1" customWidth="1"/>
    <col min="267" max="267" width="7.625" bestFit="1" customWidth="1"/>
    <col min="268" max="268" width="7.125" bestFit="1" customWidth="1"/>
    <col min="269" max="269" width="8.125" bestFit="1" customWidth="1"/>
    <col min="270" max="270" width="7.75" bestFit="1" customWidth="1"/>
    <col min="271" max="271" width="7.25" bestFit="1" customWidth="1"/>
    <col min="272" max="272" width="7" bestFit="1" customWidth="1"/>
    <col min="273" max="273" width="6.625" bestFit="1" customWidth="1"/>
    <col min="274" max="274" width="13.25" bestFit="1" customWidth="1"/>
    <col min="275" max="275" width="9.75" bestFit="1" customWidth="1"/>
    <col min="276" max="276" width="8.375" bestFit="1" customWidth="1"/>
    <col min="277" max="277" width="7" bestFit="1" customWidth="1"/>
    <col min="278" max="278" width="6.875" bestFit="1" customWidth="1"/>
    <col min="279" max="279" width="7.25" bestFit="1" customWidth="1"/>
    <col min="280" max="280" width="7.125" bestFit="1" customWidth="1"/>
    <col min="281" max="281" width="7.375" bestFit="1" customWidth="1"/>
    <col min="282" max="282" width="10.125" bestFit="1" customWidth="1"/>
    <col min="283" max="283" width="8" bestFit="1" customWidth="1"/>
    <col min="284" max="284" width="8.625" bestFit="1" customWidth="1"/>
    <col min="285" max="285" width="7.125" bestFit="1" customWidth="1"/>
    <col min="286" max="286" width="7.375" bestFit="1" customWidth="1"/>
    <col min="287" max="287" width="6" bestFit="1" customWidth="1"/>
    <col min="288" max="288" width="8.375" bestFit="1" customWidth="1"/>
    <col min="289" max="289" width="6.75" bestFit="1" customWidth="1"/>
    <col min="290" max="290" width="7.75" bestFit="1" customWidth="1"/>
    <col min="291" max="291" width="10.25" bestFit="1" customWidth="1"/>
    <col min="292" max="293" width="7.75" bestFit="1" customWidth="1"/>
    <col min="294" max="294" width="8.375" bestFit="1" customWidth="1"/>
    <col min="295" max="295" width="10.625" bestFit="1" customWidth="1"/>
    <col min="296" max="296" width="7.125" bestFit="1" customWidth="1"/>
    <col min="297" max="297" width="6.625" bestFit="1" customWidth="1"/>
    <col min="298" max="298" width="8.25" bestFit="1" customWidth="1"/>
    <col min="299" max="299" width="6.625" bestFit="1" customWidth="1"/>
    <col min="300" max="300" width="6.875" bestFit="1" customWidth="1"/>
    <col min="301" max="301" width="6.25" bestFit="1" customWidth="1"/>
    <col min="302" max="302" width="6.125" bestFit="1" customWidth="1"/>
    <col min="303" max="303" width="6.75" bestFit="1" customWidth="1"/>
    <col min="304" max="304" width="8" bestFit="1" customWidth="1"/>
    <col min="305" max="305" width="7.875" bestFit="1" customWidth="1"/>
    <col min="306" max="306" width="6.25" bestFit="1" customWidth="1"/>
    <col min="307" max="307" width="7.875" bestFit="1" customWidth="1"/>
    <col min="308" max="308" width="7.625" bestFit="1" customWidth="1"/>
    <col min="309" max="309" width="7.875" bestFit="1" customWidth="1"/>
    <col min="310" max="310" width="7.625" bestFit="1" customWidth="1"/>
    <col min="311" max="311" width="14.625" bestFit="1" customWidth="1"/>
    <col min="312" max="312" width="7.75" bestFit="1" customWidth="1"/>
    <col min="313" max="313" width="6.625" bestFit="1" customWidth="1"/>
    <col min="314" max="314" width="7.875" bestFit="1" customWidth="1"/>
    <col min="315" max="315" width="5.75" bestFit="1" customWidth="1"/>
    <col min="316" max="316" width="9.375" bestFit="1" customWidth="1"/>
    <col min="317" max="317" width="11.375" bestFit="1" customWidth="1"/>
    <col min="318" max="318" width="8.25" bestFit="1" customWidth="1"/>
    <col min="319" max="319" width="10" bestFit="1" customWidth="1"/>
    <col min="320" max="321" width="8" bestFit="1" customWidth="1"/>
    <col min="322" max="322" width="7.75" bestFit="1" customWidth="1"/>
    <col min="323" max="323" width="8.875" bestFit="1" customWidth="1"/>
    <col min="324" max="324" width="6.75" bestFit="1" customWidth="1"/>
    <col min="325" max="328" width="9.375" bestFit="1" customWidth="1"/>
    <col min="329" max="329" width="7.875" bestFit="1" customWidth="1"/>
    <col min="330" max="331" width="7.125" bestFit="1" customWidth="1"/>
    <col min="332" max="333" width="9" bestFit="1" customWidth="1"/>
    <col min="334" max="334" width="8.125" bestFit="1" customWidth="1"/>
    <col min="335" max="335" width="9.375" bestFit="1" customWidth="1"/>
    <col min="337" max="337" width="11.125" bestFit="1" customWidth="1"/>
    <col min="338" max="338" width="10" bestFit="1" customWidth="1"/>
    <col min="339" max="339" width="13.625" bestFit="1" customWidth="1"/>
    <col min="340" max="340" width="9" bestFit="1" customWidth="1"/>
    <col min="341" max="341" width="10" bestFit="1" customWidth="1"/>
    <col min="342" max="342" width="7.25" bestFit="1" customWidth="1"/>
    <col min="343" max="343" width="8.875" bestFit="1" customWidth="1"/>
    <col min="344" max="344" width="5.75" bestFit="1" customWidth="1"/>
    <col min="345" max="345" width="6.25" bestFit="1" customWidth="1"/>
    <col min="346" max="346" width="7.25" bestFit="1" customWidth="1"/>
    <col min="347" max="347" width="7.875" bestFit="1" customWidth="1"/>
    <col min="348" max="348" width="6.75" bestFit="1" customWidth="1"/>
    <col min="349" max="349" width="7.25" bestFit="1" customWidth="1"/>
    <col min="350" max="350" width="7.875" bestFit="1" customWidth="1"/>
    <col min="351" max="351" width="7.25" bestFit="1" customWidth="1"/>
    <col min="352" max="352" width="5.125" bestFit="1" customWidth="1"/>
    <col min="353" max="353" width="8.875" bestFit="1" customWidth="1"/>
    <col min="354" max="354" width="6.75" bestFit="1" customWidth="1"/>
    <col min="355" max="355" width="7.375" bestFit="1" customWidth="1"/>
    <col min="356" max="356" width="6" bestFit="1" customWidth="1"/>
    <col min="357" max="357" width="12.25" bestFit="1" customWidth="1"/>
    <col min="358" max="358" width="6" bestFit="1" customWidth="1"/>
    <col min="359" max="360" width="8.125" bestFit="1" customWidth="1"/>
    <col min="361" max="361" width="7.875" bestFit="1" customWidth="1"/>
    <col min="362" max="362" width="7.125" bestFit="1" customWidth="1"/>
    <col min="363" max="363" width="6" bestFit="1" customWidth="1"/>
    <col min="364" max="364" width="8.125" bestFit="1" customWidth="1"/>
    <col min="365" max="365" width="8.75" bestFit="1" customWidth="1"/>
    <col min="366" max="366" width="8.625" bestFit="1" customWidth="1"/>
    <col min="367" max="367" width="10.125" bestFit="1" customWidth="1"/>
    <col min="368" max="368" width="7.125" bestFit="1" customWidth="1"/>
    <col min="369" max="369" width="8.125" bestFit="1" customWidth="1"/>
    <col min="370" max="370" width="7.125" bestFit="1" customWidth="1"/>
    <col min="371" max="371" width="8.25" bestFit="1" customWidth="1"/>
    <col min="372" max="372" width="8.125" bestFit="1" customWidth="1"/>
    <col min="373" max="373" width="7" bestFit="1" customWidth="1"/>
    <col min="374" max="374" width="8.25" bestFit="1" customWidth="1"/>
    <col min="375" max="375" width="8.125" bestFit="1" customWidth="1"/>
    <col min="376" max="376" width="7" bestFit="1" customWidth="1"/>
    <col min="377" max="377" width="8.125" bestFit="1" customWidth="1"/>
    <col min="379" max="379" width="7.125" bestFit="1" customWidth="1"/>
    <col min="380" max="380" width="8.875" bestFit="1" customWidth="1"/>
    <col min="381" max="381" width="5.875" bestFit="1" customWidth="1"/>
    <col min="382" max="382" width="7.25" bestFit="1" customWidth="1"/>
    <col min="383" max="383" width="10.625" bestFit="1" customWidth="1"/>
    <col min="384" max="384" width="8" bestFit="1" customWidth="1"/>
    <col min="385" max="385" width="7.375" bestFit="1" customWidth="1"/>
    <col min="386" max="386" width="8" bestFit="1" customWidth="1"/>
    <col min="387" max="387" width="5.125" bestFit="1" customWidth="1"/>
    <col min="388" max="388" width="8.375" bestFit="1" customWidth="1"/>
    <col min="389" max="389" width="8.125" bestFit="1" customWidth="1"/>
    <col min="390" max="390" width="7.625" bestFit="1" customWidth="1"/>
    <col min="391" max="391" width="11.75" bestFit="1" customWidth="1"/>
    <col min="392" max="392" width="12.25" bestFit="1" customWidth="1"/>
    <col min="393" max="393" width="10.75" bestFit="1" customWidth="1"/>
    <col min="394" max="394" width="8.625" bestFit="1" customWidth="1"/>
    <col min="395" max="395" width="9.25" bestFit="1" customWidth="1"/>
    <col min="396" max="396" width="9.75" bestFit="1" customWidth="1"/>
    <col min="397" max="397" width="11" bestFit="1" customWidth="1"/>
    <col min="398" max="398" width="11.625" bestFit="1" customWidth="1"/>
    <col min="400" max="400" width="7.375" bestFit="1" customWidth="1"/>
    <col min="401" max="401" width="8.75" bestFit="1" customWidth="1"/>
    <col min="402" max="402" width="8.125" bestFit="1" customWidth="1"/>
    <col min="403" max="404" width="7.75" bestFit="1" customWidth="1"/>
    <col min="405" max="405" width="6" bestFit="1" customWidth="1"/>
    <col min="406" max="407" width="7.75" bestFit="1" customWidth="1"/>
    <col min="408" max="408" width="7" bestFit="1" customWidth="1"/>
    <col min="409" max="409" width="8" bestFit="1" customWidth="1"/>
    <col min="410" max="410" width="11.25" bestFit="1" customWidth="1"/>
  </cols>
  <sheetData>
    <row r="2" spans="2:2">
      <c r="B2" s="1" t="s">
        <v>1228</v>
      </c>
    </row>
    <row r="3" spans="2:2">
      <c r="B3" s="2" t="s">
        <v>284</v>
      </c>
    </row>
    <row r="4" spans="2:2">
      <c r="B4" s="2" t="s">
        <v>45</v>
      </c>
    </row>
    <row r="5" spans="2:2">
      <c r="B5" s="2" t="s">
        <v>90</v>
      </c>
    </row>
    <row r="6" spans="2:2">
      <c r="B6" s="2" t="s">
        <v>56</v>
      </c>
    </row>
    <row r="7" spans="2:2">
      <c r="B7" s="2" t="s">
        <v>61</v>
      </c>
    </row>
    <row r="8" spans="2:2">
      <c r="B8" s="2" t="s">
        <v>65</v>
      </c>
    </row>
    <row r="9" spans="2:2">
      <c r="B9" s="2" t="s">
        <v>69</v>
      </c>
    </row>
    <row r="10" spans="2:2">
      <c r="B10" s="2" t="s">
        <v>545</v>
      </c>
    </row>
    <row r="11" spans="2:2">
      <c r="B11" s="2" t="s">
        <v>1050</v>
      </c>
    </row>
    <row r="12" spans="2:2">
      <c r="B12" s="2" t="s">
        <v>77</v>
      </c>
    </row>
    <row r="13" spans="2:2">
      <c r="B13" s="2" t="s">
        <v>81</v>
      </c>
    </row>
    <row r="14" spans="2:2">
      <c r="B14" s="2" t="s">
        <v>549</v>
      </c>
    </row>
    <row r="15" spans="2:2">
      <c r="B15" s="2" t="s">
        <v>137</v>
      </c>
    </row>
    <row r="16" spans="2:2">
      <c r="B16" s="2" t="s">
        <v>160</v>
      </c>
    </row>
    <row r="17" spans="2:2">
      <c r="B17" s="2" t="s">
        <v>73</v>
      </c>
    </row>
    <row r="18" spans="2:2">
      <c r="B18" s="2" t="s">
        <v>150</v>
      </c>
    </row>
    <row r="19" spans="2:2">
      <c r="B19" s="2" t="s">
        <v>174</v>
      </c>
    </row>
    <row r="20" spans="2:2">
      <c r="B20" s="2" t="s">
        <v>1166</v>
      </c>
    </row>
    <row r="21" spans="2:2">
      <c r="B21" s="2" t="s">
        <v>1093</v>
      </c>
    </row>
    <row r="22" spans="2:2">
      <c r="B22" s="2" t="s">
        <v>153</v>
      </c>
    </row>
    <row r="23" spans="2:2">
      <c r="B23" s="2" t="s">
        <v>133</v>
      </c>
    </row>
    <row r="24" spans="2:2">
      <c r="B24" s="2" t="s">
        <v>519</v>
      </c>
    </row>
    <row r="25" spans="2:2">
      <c r="B25" s="2" t="s">
        <v>116</v>
      </c>
    </row>
    <row r="26" spans="2:2">
      <c r="B26" s="2" t="s">
        <v>289</v>
      </c>
    </row>
    <row r="27" spans="2:2">
      <c r="B27" s="2" t="s">
        <v>1183</v>
      </c>
    </row>
    <row r="28" spans="2:2">
      <c r="B28" s="2" t="s">
        <v>1146</v>
      </c>
    </row>
    <row r="29" spans="2:2">
      <c r="B29" s="2" t="s">
        <v>363</v>
      </c>
    </row>
    <row r="30" spans="2:2">
      <c r="B30" s="2" t="s">
        <v>999</v>
      </c>
    </row>
    <row r="31" spans="2:2">
      <c r="B31" s="2" t="s">
        <v>39</v>
      </c>
    </row>
    <row r="32" spans="2:2">
      <c r="B32" s="2" t="s">
        <v>242</v>
      </c>
    </row>
    <row r="33" spans="2:2">
      <c r="B33" s="2" t="s">
        <v>683</v>
      </c>
    </row>
    <row r="34" spans="2:2">
      <c r="B34" s="2" t="s">
        <v>840</v>
      </c>
    </row>
    <row r="35" spans="2:2">
      <c r="B35" s="2" t="s">
        <v>1217</v>
      </c>
    </row>
    <row r="36" spans="2:2">
      <c r="B36" s="2" t="s">
        <v>853</v>
      </c>
    </row>
    <row r="37" spans="2:2">
      <c r="B37" s="2" t="s">
        <v>453</v>
      </c>
    </row>
    <row r="38" spans="2:2">
      <c r="B38" s="2" t="s">
        <v>724</v>
      </c>
    </row>
    <row r="39" spans="2:2">
      <c r="B39" s="2" t="s">
        <v>208</v>
      </c>
    </row>
    <row r="40" spans="2:2">
      <c r="B40" s="2" t="s">
        <v>1007</v>
      </c>
    </row>
    <row r="41" spans="2:2">
      <c r="B41" s="2" t="s">
        <v>1131</v>
      </c>
    </row>
    <row r="42" spans="2:2">
      <c r="B42" s="2" t="s">
        <v>192</v>
      </c>
    </row>
    <row r="43" spans="2:2">
      <c r="B43" s="2" t="s">
        <v>196</v>
      </c>
    </row>
    <row r="44" spans="2:2">
      <c r="B44" s="2" t="s">
        <v>1108</v>
      </c>
    </row>
    <row r="45" spans="2:2">
      <c r="B45" s="2" t="s">
        <v>1012</v>
      </c>
    </row>
    <row r="46" spans="2:2">
      <c r="B46" s="2" t="s">
        <v>310</v>
      </c>
    </row>
    <row r="47" spans="2:2">
      <c r="B47" s="2" t="s">
        <v>688</v>
      </c>
    </row>
    <row r="48" spans="2:2">
      <c r="B48" s="2" t="s">
        <v>823</v>
      </c>
    </row>
    <row r="49" spans="2:2">
      <c r="B49" s="2" t="s">
        <v>957</v>
      </c>
    </row>
    <row r="50" spans="2:2">
      <c r="B50" s="2" t="s">
        <v>864</v>
      </c>
    </row>
    <row r="51" spans="2:2">
      <c r="B51" s="2" t="s">
        <v>571</v>
      </c>
    </row>
    <row r="52" spans="2:2">
      <c r="B52" s="2" t="s">
        <v>366</v>
      </c>
    </row>
    <row r="53" spans="2:2">
      <c r="B53" s="2" t="s">
        <v>584</v>
      </c>
    </row>
    <row r="54" spans="2:2">
      <c r="B54" s="2" t="s">
        <v>461</v>
      </c>
    </row>
    <row r="55" spans="2:2">
      <c r="B55" s="2" t="s">
        <v>1100</v>
      </c>
    </row>
    <row r="56" spans="2:2">
      <c r="B56" s="2" t="s">
        <v>892</v>
      </c>
    </row>
    <row r="57" spans="2:2">
      <c r="B57" s="2" t="s">
        <v>211</v>
      </c>
    </row>
    <row r="58" spans="2:2">
      <c r="B58" s="2" t="s">
        <v>919</v>
      </c>
    </row>
    <row r="59" spans="2:2">
      <c r="B59" s="2" t="s">
        <v>314</v>
      </c>
    </row>
    <row r="60" spans="2:2">
      <c r="B60" s="2" t="s">
        <v>867</v>
      </c>
    </row>
    <row r="61" spans="2:2">
      <c r="B61" s="2" t="s">
        <v>1009</v>
      </c>
    </row>
    <row r="62" spans="2:2">
      <c r="B62" s="2" t="s">
        <v>1193</v>
      </c>
    </row>
    <row r="63" spans="2:2">
      <c r="B63" s="2" t="s">
        <v>1155</v>
      </c>
    </row>
    <row r="64" spans="2:2">
      <c r="B64" s="2" t="s">
        <v>878</v>
      </c>
    </row>
    <row r="65" spans="2:2">
      <c r="B65" s="2" t="s">
        <v>1153</v>
      </c>
    </row>
    <row r="66" spans="2:2">
      <c r="B66" s="2" t="s">
        <v>790</v>
      </c>
    </row>
    <row r="67" spans="2:2">
      <c r="B67" s="2" t="s">
        <v>860</v>
      </c>
    </row>
    <row r="68" spans="2:2">
      <c r="B68" s="2" t="s">
        <v>224</v>
      </c>
    </row>
    <row r="69" spans="2:2">
      <c r="B69" s="2" t="s">
        <v>101</v>
      </c>
    </row>
    <row r="70" spans="2:2">
      <c r="B70" s="2" t="s">
        <v>232</v>
      </c>
    </row>
    <row r="71" spans="2:2">
      <c r="B71" s="2" t="s">
        <v>243</v>
      </c>
    </row>
    <row r="72" spans="2:2">
      <c r="B72" s="2" t="s">
        <v>1041</v>
      </c>
    </row>
    <row r="73" spans="2:2">
      <c r="B73" s="2" t="s">
        <v>503</v>
      </c>
    </row>
    <row r="74" spans="2:2">
      <c r="B74" s="2" t="s">
        <v>851</v>
      </c>
    </row>
    <row r="75" spans="2:2">
      <c r="B75" s="2" t="s">
        <v>215</v>
      </c>
    </row>
    <row r="76" spans="2:2">
      <c r="B76" s="2" t="s">
        <v>228</v>
      </c>
    </row>
    <row r="77" spans="2:2">
      <c r="B77" s="2" t="s">
        <v>220</v>
      </c>
    </row>
    <row r="78" spans="2:2">
      <c r="B78" s="2" t="s">
        <v>266</v>
      </c>
    </row>
    <row r="79" spans="2:2">
      <c r="B79" s="2" t="s">
        <v>262</v>
      </c>
    </row>
    <row r="80" spans="2:2">
      <c r="B80" s="2" t="s">
        <v>561</v>
      </c>
    </row>
    <row r="81" spans="2:2">
      <c r="B81" s="2" t="s">
        <v>270</v>
      </c>
    </row>
    <row r="82" spans="2:2">
      <c r="B82" s="2" t="s">
        <v>249</v>
      </c>
    </row>
    <row r="83" spans="2:2">
      <c r="B83" s="2" t="s">
        <v>951</v>
      </c>
    </row>
    <row r="84" spans="2:2">
      <c r="B84" s="2" t="s">
        <v>466</v>
      </c>
    </row>
    <row r="85" spans="2:2">
      <c r="B85" s="2" t="s">
        <v>625</v>
      </c>
    </row>
    <row r="86" spans="2:2">
      <c r="B86" s="2" t="s">
        <v>886</v>
      </c>
    </row>
    <row r="87" spans="2:2">
      <c r="B87" s="2" t="s">
        <v>121</v>
      </c>
    </row>
    <row r="88" spans="2:2">
      <c r="B88" s="2" t="s">
        <v>445</v>
      </c>
    </row>
    <row r="89" spans="2:2">
      <c r="B89" s="2" t="s">
        <v>906</v>
      </c>
    </row>
    <row r="90" spans="2:2">
      <c r="B90" s="2" t="s">
        <v>666</v>
      </c>
    </row>
    <row r="91" spans="2:2">
      <c r="B91" s="2" t="s">
        <v>1118</v>
      </c>
    </row>
    <row r="92" spans="2:2">
      <c r="B92" s="2" t="s">
        <v>1104</v>
      </c>
    </row>
    <row r="93" spans="2:2">
      <c r="B93" s="2" t="s">
        <v>1160</v>
      </c>
    </row>
    <row r="94" spans="2:2">
      <c r="B94" s="2" t="s">
        <v>281</v>
      </c>
    </row>
    <row r="95" spans="2:2">
      <c r="B95" s="2" t="s">
        <v>913</v>
      </c>
    </row>
    <row r="96" spans="2:2">
      <c r="B96" s="2" t="s">
        <v>857</v>
      </c>
    </row>
    <row r="97" spans="2:2">
      <c r="B97" s="2" t="s">
        <v>946</v>
      </c>
    </row>
    <row r="98" spans="2:2">
      <c r="B98" s="2" t="s">
        <v>274</v>
      </c>
    </row>
    <row r="99" spans="2:2">
      <c r="B99" s="2" t="s">
        <v>895</v>
      </c>
    </row>
    <row r="100" spans="2:2">
      <c r="B100" s="2" t="s">
        <v>236</v>
      </c>
    </row>
    <row r="101" spans="2:2">
      <c r="B101" s="2" t="s">
        <v>1046</v>
      </c>
    </row>
    <row r="102" spans="2:2">
      <c r="B102" s="2" t="s">
        <v>293</v>
      </c>
    </row>
    <row r="103" spans="2:2">
      <c r="B103" s="2" t="s">
        <v>51</v>
      </c>
    </row>
    <row r="104" spans="2:2">
      <c r="B104" s="2" t="s">
        <v>188</v>
      </c>
    </row>
    <row r="105" spans="2:2">
      <c r="B105" s="2" t="s">
        <v>829</v>
      </c>
    </row>
    <row r="106" spans="2:2">
      <c r="B106" s="2" t="s">
        <v>721</v>
      </c>
    </row>
    <row r="107" spans="2:2">
      <c r="B107" s="2" t="s">
        <v>589</v>
      </c>
    </row>
    <row r="108" spans="2:2">
      <c r="B108" s="2" t="s">
        <v>492</v>
      </c>
    </row>
    <row r="109" spans="2:2">
      <c r="B109" s="2" t="s">
        <v>306</v>
      </c>
    </row>
    <row r="110" spans="2:2">
      <c r="B110" s="2" t="s">
        <v>301</v>
      </c>
    </row>
    <row r="111" spans="2:2">
      <c r="B111" s="2" t="s">
        <v>925</v>
      </c>
    </row>
    <row r="112" spans="2:2">
      <c r="B112" s="2" t="s">
        <v>674</v>
      </c>
    </row>
    <row r="113" spans="2:2">
      <c r="B113" s="2" t="s">
        <v>933</v>
      </c>
    </row>
    <row r="114" spans="2:2">
      <c r="B114" s="2" t="s">
        <v>360</v>
      </c>
    </row>
    <row r="115" spans="2:2">
      <c r="B115" s="2" t="s">
        <v>332</v>
      </c>
    </row>
    <row r="116" spans="2:2">
      <c r="B116" s="2" t="s">
        <v>339</v>
      </c>
    </row>
    <row r="117" spans="2:2">
      <c r="B117" s="2" t="s">
        <v>1095</v>
      </c>
    </row>
    <row r="118" spans="2:2">
      <c r="B118" s="2" t="s">
        <v>955</v>
      </c>
    </row>
    <row r="119" spans="2:2">
      <c r="B119" s="2" t="s">
        <v>382</v>
      </c>
    </row>
    <row r="120" spans="2:2">
      <c r="B120" s="2" t="s">
        <v>1129</v>
      </c>
    </row>
    <row r="121" spans="2:2">
      <c r="B121" s="2" t="s">
        <v>393</v>
      </c>
    </row>
    <row r="122" spans="2:2">
      <c r="B122" s="2" t="s">
        <v>977</v>
      </c>
    </row>
    <row r="123" spans="2:2">
      <c r="B123" s="2" t="s">
        <v>413</v>
      </c>
    </row>
    <row r="124" spans="2:2">
      <c r="B124" s="2" t="s">
        <v>401</v>
      </c>
    </row>
    <row r="125" spans="2:2">
      <c r="B125" s="2" t="s">
        <v>708</v>
      </c>
    </row>
    <row r="126" spans="2:2">
      <c r="B126" s="2" t="s">
        <v>1133</v>
      </c>
    </row>
    <row r="127" spans="2:2">
      <c r="B127" s="2" t="s">
        <v>457</v>
      </c>
    </row>
    <row r="128" spans="2:2">
      <c r="B128" s="2" t="s">
        <v>1079</v>
      </c>
    </row>
    <row r="129" spans="2:2">
      <c r="B129" s="2" t="s">
        <v>409</v>
      </c>
    </row>
    <row r="130" spans="2:2">
      <c r="B130" s="2" t="s">
        <v>608</v>
      </c>
    </row>
    <row r="131" spans="2:2">
      <c r="B131" s="2" t="s">
        <v>540</v>
      </c>
    </row>
    <row r="132" spans="2:2">
      <c r="B132" s="2" t="s">
        <v>825</v>
      </c>
    </row>
    <row r="133" spans="2:2">
      <c r="B133" s="2" t="s">
        <v>1033</v>
      </c>
    </row>
    <row r="134" spans="2:2">
      <c r="B134" s="2" t="s">
        <v>511</v>
      </c>
    </row>
    <row r="135" spans="2:2">
      <c r="B135" s="2" t="s">
        <v>1004</v>
      </c>
    </row>
    <row r="136" spans="2:2">
      <c r="B136" s="2" t="s">
        <v>989</v>
      </c>
    </row>
    <row r="137" spans="2:2">
      <c r="B137" s="2" t="s">
        <v>749</v>
      </c>
    </row>
    <row r="138" spans="2:2">
      <c r="B138" s="2" t="s">
        <v>753</v>
      </c>
    </row>
    <row r="139" spans="2:2">
      <c r="B139" s="2" t="s">
        <v>597</v>
      </c>
    </row>
    <row r="140" spans="2:2">
      <c r="B140" s="2" t="s">
        <v>374</v>
      </c>
    </row>
    <row r="141" spans="2:2">
      <c r="B141" s="2" t="s">
        <v>1207</v>
      </c>
    </row>
    <row r="142" spans="2:2">
      <c r="B142" s="2" t="s">
        <v>1089</v>
      </c>
    </row>
    <row r="143" spans="2:2">
      <c r="B143" s="2" t="s">
        <v>421</v>
      </c>
    </row>
    <row r="144" spans="2:2">
      <c r="B144" s="2" t="s">
        <v>658</v>
      </c>
    </row>
    <row r="145" spans="2:2">
      <c r="B145" s="2" t="s">
        <v>200</v>
      </c>
    </row>
    <row r="146" spans="2:2">
      <c r="B146" s="2" t="s">
        <v>356</v>
      </c>
    </row>
    <row r="147" spans="2:2">
      <c r="B147" s="2" t="s">
        <v>430</v>
      </c>
    </row>
    <row r="148" spans="2:2">
      <c r="B148" s="2" t="s">
        <v>981</v>
      </c>
    </row>
    <row r="149" spans="2:2">
      <c r="B149" s="2" t="s">
        <v>470</v>
      </c>
    </row>
    <row r="150" spans="2:2">
      <c r="B150" s="2" t="s">
        <v>440</v>
      </c>
    </row>
    <row r="151" spans="2:2">
      <c r="B151" s="2" t="s">
        <v>917</v>
      </c>
    </row>
    <row r="152" spans="2:2">
      <c r="B152" s="2" t="s">
        <v>1022</v>
      </c>
    </row>
    <row r="153" spans="2:2">
      <c r="B153" s="2" t="s">
        <v>449</v>
      </c>
    </row>
    <row r="154" spans="2:2">
      <c r="B154" s="2" t="s">
        <v>1018</v>
      </c>
    </row>
    <row r="155" spans="2:2">
      <c r="B155" s="2" t="s">
        <v>396</v>
      </c>
    </row>
    <row r="156" spans="2:2">
      <c r="B156" s="2" t="s">
        <v>1164</v>
      </c>
    </row>
    <row r="157" spans="2:2">
      <c r="B157" s="2" t="s">
        <v>847</v>
      </c>
    </row>
    <row r="158" spans="2:2">
      <c r="B158" s="2" t="s">
        <v>1058</v>
      </c>
    </row>
    <row r="159" spans="2:2">
      <c r="B159" s="2" t="s">
        <v>613</v>
      </c>
    </row>
    <row r="160" spans="2:2">
      <c r="B160" s="2" t="s">
        <v>475</v>
      </c>
    </row>
    <row r="161" spans="2:2">
      <c r="B161" s="2" t="s">
        <v>531</v>
      </c>
    </row>
    <row r="162" spans="2:2">
      <c r="B162" s="2" t="s">
        <v>553</v>
      </c>
    </row>
    <row r="163" spans="2:2">
      <c r="B163" s="2" t="s">
        <v>486</v>
      </c>
    </row>
    <row r="164" spans="2:2">
      <c r="B164" s="2" t="s">
        <v>417</v>
      </c>
    </row>
    <row r="165" spans="2:2">
      <c r="B165" s="2" t="s">
        <v>1170</v>
      </c>
    </row>
    <row r="166" spans="2:2">
      <c r="B166" s="2" t="s">
        <v>1053</v>
      </c>
    </row>
    <row r="167" spans="2:2">
      <c r="B167" s="2" t="s">
        <v>347</v>
      </c>
    </row>
    <row r="168" spans="2:2">
      <c r="B168" s="2" t="s">
        <v>807</v>
      </c>
    </row>
    <row r="169" spans="2:2">
      <c r="B169" s="2" t="s">
        <v>499</v>
      </c>
    </row>
    <row r="170" spans="2:2">
      <c r="B170" s="2" t="s">
        <v>507</v>
      </c>
    </row>
    <row r="171" spans="2:2">
      <c r="B171" s="2" t="s">
        <v>533</v>
      </c>
    </row>
    <row r="172" spans="2:2">
      <c r="B172" s="2" t="s">
        <v>515</v>
      </c>
    </row>
    <row r="173" spans="2:2">
      <c r="B173" s="2" t="s">
        <v>1071</v>
      </c>
    </row>
    <row r="174" spans="2:2">
      <c r="B174" s="2" t="s">
        <v>523</v>
      </c>
    </row>
    <row r="175" spans="2:2">
      <c r="B175" s="2" t="s">
        <v>557</v>
      </c>
    </row>
    <row r="176" spans="2:2">
      <c r="B176" s="2" t="s">
        <v>1127</v>
      </c>
    </row>
    <row r="177" spans="2:2">
      <c r="B177" s="2" t="s">
        <v>165</v>
      </c>
    </row>
    <row r="178" spans="2:2">
      <c r="B178" s="2" t="s">
        <v>1075</v>
      </c>
    </row>
    <row r="179" spans="2:2">
      <c r="B179" s="2" t="s">
        <v>766</v>
      </c>
    </row>
    <row r="180" spans="2:2">
      <c r="B180" s="2" t="s">
        <v>764</v>
      </c>
    </row>
    <row r="181" spans="2:2">
      <c r="B181" s="2" t="s">
        <v>343</v>
      </c>
    </row>
    <row r="182" spans="2:2">
      <c r="B182" s="2" t="s">
        <v>923</v>
      </c>
    </row>
    <row r="183" spans="2:2">
      <c r="B183" s="2" t="s">
        <v>565</v>
      </c>
    </row>
    <row r="184" spans="2:2">
      <c r="B184" s="2" t="s">
        <v>379</v>
      </c>
    </row>
    <row r="185" spans="2:2">
      <c r="B185" s="2" t="s">
        <v>758</v>
      </c>
    </row>
    <row r="186" spans="2:2">
      <c r="B186" s="2" t="s">
        <v>760</v>
      </c>
    </row>
    <row r="187" spans="2:2">
      <c r="B187" s="2" t="s">
        <v>351</v>
      </c>
    </row>
    <row r="188" spans="2:2">
      <c r="B188" s="2" t="s">
        <v>768</v>
      </c>
    </row>
    <row r="189" spans="2:2">
      <c r="B189" s="2" t="s">
        <v>389</v>
      </c>
    </row>
    <row r="190" spans="2:2">
      <c r="B190" s="2" t="s">
        <v>324</v>
      </c>
    </row>
    <row r="191" spans="2:2">
      <c r="B191" s="2" t="s">
        <v>385</v>
      </c>
    </row>
    <row r="192" spans="2:2">
      <c r="B192" s="2" t="s">
        <v>1223</v>
      </c>
    </row>
    <row r="193" spans="2:2">
      <c r="B193" s="2" t="s">
        <v>1122</v>
      </c>
    </row>
    <row r="194" spans="2:2">
      <c r="B194" s="2" t="s">
        <v>618</v>
      </c>
    </row>
    <row r="195" spans="2:2">
      <c r="B195" s="2" t="s">
        <v>1209</v>
      </c>
    </row>
    <row r="196" spans="2:2">
      <c r="B196" s="2" t="s">
        <v>931</v>
      </c>
    </row>
    <row r="197" spans="2:2">
      <c r="B197" s="2" t="s">
        <v>1221</v>
      </c>
    </row>
    <row r="198" spans="2:2">
      <c r="B198" s="2" t="s">
        <v>1112</v>
      </c>
    </row>
    <row r="199" spans="2:2">
      <c r="B199" s="2" t="s">
        <v>179</v>
      </c>
    </row>
    <row r="200" spans="2:2">
      <c r="B200" s="2" t="s">
        <v>1168</v>
      </c>
    </row>
    <row r="201" spans="2:2">
      <c r="B201" s="2" t="s">
        <v>979</v>
      </c>
    </row>
    <row r="202" spans="2:2">
      <c r="B202" s="2" t="s">
        <v>426</v>
      </c>
    </row>
    <row r="203" spans="2:2">
      <c r="B203" s="2" t="s">
        <v>257</v>
      </c>
    </row>
    <row r="204" spans="2:2">
      <c r="B204" s="2" t="s">
        <v>296</v>
      </c>
    </row>
    <row r="205" spans="2:2">
      <c r="B205" s="2" t="s">
        <v>1060</v>
      </c>
    </row>
    <row r="206" spans="2:2">
      <c r="B206" s="2" t="s">
        <v>599</v>
      </c>
    </row>
    <row r="207" spans="2:2">
      <c r="B207" s="2" t="s">
        <v>1186</v>
      </c>
    </row>
    <row r="208" spans="2:2">
      <c r="B208" s="2" t="s">
        <v>1148</v>
      </c>
    </row>
    <row r="209" spans="2:2">
      <c r="B209" s="2" t="s">
        <v>575</v>
      </c>
    </row>
    <row r="210" spans="2:2">
      <c r="B210" s="2" t="s">
        <v>733</v>
      </c>
    </row>
    <row r="211" spans="2:2">
      <c r="B211" s="2" t="s">
        <v>567</v>
      </c>
    </row>
    <row r="212" spans="2:2">
      <c r="B212" s="2" t="s">
        <v>111</v>
      </c>
    </row>
    <row r="213" spans="2:2">
      <c r="B213" s="2" t="s">
        <v>1082</v>
      </c>
    </row>
    <row r="214" spans="2:2">
      <c r="B214" s="2" t="s">
        <v>527</v>
      </c>
    </row>
    <row r="215" spans="2:2">
      <c r="B215" s="2" t="s">
        <v>1029</v>
      </c>
    </row>
    <row r="216" spans="2:2">
      <c r="B216" s="2" t="s">
        <v>1137</v>
      </c>
    </row>
    <row r="217" spans="2:2">
      <c r="B217" s="2" t="s">
        <v>959</v>
      </c>
    </row>
    <row r="218" spans="2:2">
      <c r="B218" s="2" t="s">
        <v>654</v>
      </c>
    </row>
    <row r="219" spans="2:2">
      <c r="B219" s="2" t="s">
        <v>405</v>
      </c>
    </row>
    <row r="220" spans="2:2">
      <c r="B220" s="2" t="s">
        <v>650</v>
      </c>
    </row>
    <row r="221" spans="2:2">
      <c r="B221" s="2" t="s">
        <v>126</v>
      </c>
    </row>
    <row r="222" spans="2:2">
      <c r="B222" s="2" t="s">
        <v>1044</v>
      </c>
    </row>
    <row r="223" spans="2:2">
      <c r="B223" s="2" t="s">
        <v>603</v>
      </c>
    </row>
    <row r="224" spans="2:2">
      <c r="B224" s="2" t="s">
        <v>787</v>
      </c>
    </row>
    <row r="225" spans="2:2">
      <c r="B225" s="2" t="s">
        <v>944</v>
      </c>
    </row>
    <row r="226" spans="2:2">
      <c r="B226" s="2" t="s">
        <v>95</v>
      </c>
    </row>
    <row r="227" spans="2:2">
      <c r="B227" s="2" t="s">
        <v>605</v>
      </c>
    </row>
    <row r="228" spans="2:2">
      <c r="B228" s="2" t="s">
        <v>704</v>
      </c>
    </row>
    <row r="229" spans="2:2">
      <c r="B229" s="2" t="s">
        <v>1087</v>
      </c>
    </row>
    <row r="230" spans="2:2">
      <c r="B230" s="2" t="s">
        <v>621</v>
      </c>
    </row>
    <row r="231" spans="2:2">
      <c r="B231" s="2" t="s">
        <v>204</v>
      </c>
    </row>
    <row r="232" spans="2:2">
      <c r="B232" s="2" t="s">
        <v>328</v>
      </c>
    </row>
    <row r="233" spans="2:2">
      <c r="B233" s="2" t="s">
        <v>629</v>
      </c>
    </row>
    <row r="234" spans="2:2">
      <c r="B234" s="2" t="s">
        <v>1114</v>
      </c>
    </row>
    <row r="235" spans="2:2">
      <c r="B235" s="2" t="s">
        <v>1037</v>
      </c>
    </row>
    <row r="236" spans="2:2">
      <c r="B236" s="2" t="s">
        <v>1035</v>
      </c>
    </row>
    <row r="237" spans="2:2">
      <c r="B237" s="2" t="s">
        <v>1213</v>
      </c>
    </row>
    <row r="238" spans="2:2">
      <c r="B238" s="2" t="s">
        <v>1120</v>
      </c>
    </row>
    <row r="239" spans="2:2">
      <c r="B239" s="2" t="s">
        <v>579</v>
      </c>
    </row>
    <row r="240" spans="2:2">
      <c r="B240" s="2" t="s">
        <v>670</v>
      </c>
    </row>
    <row r="241" spans="2:2">
      <c r="B241" s="2" t="s">
        <v>479</v>
      </c>
    </row>
    <row r="242" spans="2:2">
      <c r="B242" s="2" t="s">
        <v>662</v>
      </c>
    </row>
    <row r="243" spans="2:2">
      <c r="B243" s="2" t="s">
        <v>336</v>
      </c>
    </row>
    <row r="244" spans="2:2">
      <c r="B244" s="2" t="s">
        <v>692</v>
      </c>
    </row>
    <row r="245" spans="2:2">
      <c r="B245" s="2" t="s">
        <v>1068</v>
      </c>
    </row>
    <row r="246" spans="2:2">
      <c r="B246" s="2" t="s">
        <v>141</v>
      </c>
    </row>
    <row r="247" spans="2:2">
      <c r="B247" s="2" t="s">
        <v>728</v>
      </c>
    </row>
    <row r="248" spans="2:2">
      <c r="B248" s="2" t="s">
        <v>1139</v>
      </c>
    </row>
    <row r="249" spans="2:2">
      <c r="B249" s="2" t="s">
        <v>798</v>
      </c>
    </row>
    <row r="250" spans="2:2">
      <c r="B250" s="2" t="s">
        <v>1144</v>
      </c>
    </row>
    <row r="251" spans="2:2">
      <c r="B251" s="2" t="s">
        <v>869</v>
      </c>
    </row>
    <row r="252" spans="2:2">
      <c r="B252" s="2" t="s">
        <v>594</v>
      </c>
    </row>
    <row r="253" spans="2:2">
      <c r="B253" s="2" t="s">
        <v>1150</v>
      </c>
    </row>
    <row r="254" spans="2:2">
      <c r="B254" s="2" t="s">
        <v>1125</v>
      </c>
    </row>
    <row r="255" spans="2:2">
      <c r="B255" s="2" t="s">
        <v>966</v>
      </c>
    </row>
    <row r="256" spans="2:2">
      <c r="B256" s="2" t="s">
        <v>145</v>
      </c>
    </row>
    <row r="257" spans="2:2">
      <c r="B257" s="2" t="s">
        <v>436</v>
      </c>
    </row>
    <row r="258" spans="2:2">
      <c r="B258" s="2" t="s">
        <v>696</v>
      </c>
    </row>
    <row r="259" spans="2:2">
      <c r="B259" s="2" t="s">
        <v>1162</v>
      </c>
    </row>
    <row r="260" spans="2:2">
      <c r="B260" s="2" t="s">
        <v>320</v>
      </c>
    </row>
    <row r="261" spans="2:2">
      <c r="B261" s="2" t="s">
        <v>495</v>
      </c>
    </row>
    <row r="262" spans="2:2">
      <c r="B262" s="2" t="s">
        <v>712</v>
      </c>
    </row>
    <row r="263" spans="2:2">
      <c r="B263" s="2" t="s">
        <v>170</v>
      </c>
    </row>
    <row r="264" spans="2:2">
      <c r="B264" s="2" t="s">
        <v>740</v>
      </c>
    </row>
    <row r="265" spans="2:2">
      <c r="B265" s="2" t="s">
        <v>717</v>
      </c>
    </row>
    <row r="266" spans="2:2">
      <c r="B266" s="2" t="s">
        <v>875</v>
      </c>
    </row>
    <row r="267" spans="2:2">
      <c r="B267" s="2" t="s">
        <v>928</v>
      </c>
    </row>
    <row r="268" spans="2:2">
      <c r="B268" s="2" t="s">
        <v>85</v>
      </c>
    </row>
    <row r="269" spans="2:2">
      <c r="B269" s="2" t="s">
        <v>1176</v>
      </c>
    </row>
    <row r="270" spans="2:2">
      <c r="B270" s="2" t="s">
        <v>1106</v>
      </c>
    </row>
    <row r="271" spans="2:2">
      <c r="B271" s="2" t="s">
        <v>736</v>
      </c>
    </row>
    <row r="272" spans="2:2">
      <c r="B272" s="2" t="s">
        <v>1180</v>
      </c>
    </row>
    <row r="273" spans="2:2">
      <c r="B273" s="2" t="s">
        <v>370</v>
      </c>
    </row>
    <row r="274" spans="2:2">
      <c r="B274" s="2" t="s">
        <v>744</v>
      </c>
    </row>
    <row r="275" spans="2:2">
      <c r="B275" s="2" t="s">
        <v>1102</v>
      </c>
    </row>
    <row r="276" spans="2:2">
      <c r="B276" s="2" t="s">
        <v>183</v>
      </c>
    </row>
    <row r="277" spans="2:2">
      <c r="B277" s="2" t="s">
        <v>645</v>
      </c>
    </row>
    <row r="278" spans="2:2">
      <c r="B278" s="2" t="s">
        <v>1062</v>
      </c>
    </row>
    <row r="279" spans="2:2">
      <c r="B279" s="2" t="s">
        <v>890</v>
      </c>
    </row>
    <row r="280" spans="2:2">
      <c r="B280" s="2" t="s">
        <v>1189</v>
      </c>
    </row>
    <row r="281" spans="2:2">
      <c r="B281" s="2" t="s">
        <v>637</v>
      </c>
    </row>
    <row r="282" spans="2:2">
      <c r="B282" s="2" t="s">
        <v>770</v>
      </c>
    </row>
    <row r="283" spans="2:2">
      <c r="B283" s="2" t="s">
        <v>254</v>
      </c>
    </row>
    <row r="284" spans="2:2">
      <c r="B284" s="2" t="s">
        <v>106</v>
      </c>
    </row>
    <row r="285" spans="2:2">
      <c r="B285" s="2" t="s">
        <v>992</v>
      </c>
    </row>
    <row r="286" spans="2:2">
      <c r="B286" s="2" t="s">
        <v>939</v>
      </c>
    </row>
    <row r="287" spans="2:2">
      <c r="B287" s="2" t="s">
        <v>985</v>
      </c>
    </row>
    <row r="288" spans="2:2">
      <c r="B288" s="2" t="s">
        <v>432</v>
      </c>
    </row>
    <row r="289" spans="2:2">
      <c r="B289" s="2" t="s">
        <v>641</v>
      </c>
    </row>
    <row r="290" spans="2:2">
      <c r="B290" s="2" t="s">
        <v>1091</v>
      </c>
    </row>
    <row r="291" spans="2:2">
      <c r="B291" s="2" t="s">
        <v>1211</v>
      </c>
    </row>
    <row r="292" spans="2:2">
      <c r="B292" s="2" t="s">
        <v>775</v>
      </c>
    </row>
    <row r="293" spans="2:2">
      <c r="B293" s="2" t="s">
        <v>782</v>
      </c>
    </row>
    <row r="294" spans="2:2">
      <c r="B294" s="2" t="s">
        <v>778</v>
      </c>
    </row>
    <row r="295" spans="2:2">
      <c r="B295" s="2" t="s">
        <v>536</v>
      </c>
    </row>
    <row r="296" spans="2:2">
      <c r="B296" s="2" t="s">
        <v>996</v>
      </c>
    </row>
    <row r="297" spans="2:2">
      <c r="B297" s="2" t="s">
        <v>837</v>
      </c>
    </row>
    <row r="298" spans="2:2">
      <c r="B298" s="2" t="s">
        <v>1002</v>
      </c>
    </row>
    <row r="299" spans="2:2">
      <c r="B299" s="2" t="s">
        <v>700</v>
      </c>
    </row>
    <row r="300" spans="2:2">
      <c r="B300" s="2" t="s">
        <v>802</v>
      </c>
    </row>
    <row r="301" spans="2:2">
      <c r="B301" s="2" t="s">
        <v>1135</v>
      </c>
    </row>
    <row r="302" spans="2:2">
      <c r="B302" s="2" t="s">
        <v>633</v>
      </c>
    </row>
    <row r="303" spans="2:2">
      <c r="B303" s="2" t="s">
        <v>794</v>
      </c>
    </row>
    <row r="304" spans="2:2">
      <c r="B304" s="2" t="s">
        <v>1226</v>
      </c>
    </row>
    <row r="305" spans="2:2">
      <c r="B305" s="2" t="s">
        <v>1267</v>
      </c>
    </row>
    <row r="306" spans="2:2">
      <c r="B306" s="2" t="s">
        <v>1270</v>
      </c>
    </row>
    <row r="307" spans="2:2">
      <c r="B307" s="2" t="s">
        <v>1547</v>
      </c>
    </row>
    <row r="308" spans="2:2">
      <c r="B308" s="2" t="s">
        <v>1565</v>
      </c>
    </row>
    <row r="309" spans="2:2">
      <c r="B309" s="2" t="s">
        <v>1384</v>
      </c>
    </row>
    <row r="310" spans="2:2">
      <c r="B310" s="2" t="s">
        <v>1291</v>
      </c>
    </row>
    <row r="311" spans="2:2">
      <c r="B311" s="2" t="s">
        <v>1488</v>
      </c>
    </row>
    <row r="312" spans="2:2">
      <c r="B312" s="2" t="s">
        <v>1369</v>
      </c>
    </row>
    <row r="313" spans="2:2">
      <c r="B313" s="2" t="s">
        <v>1229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F54A-278A-4A1F-945C-EB0DF7DFFFE7}">
  <sheetPr codeName="Sheet4"/>
  <dimension ref="A1:AM382"/>
  <sheetViews>
    <sheetView workbookViewId="0">
      <selection activeCell="D11" sqref="D11"/>
    </sheetView>
  </sheetViews>
  <sheetFormatPr defaultRowHeight="14.25"/>
  <cols>
    <col min="1" max="1" width="12.375" bestFit="1" customWidth="1"/>
    <col min="2" max="2" width="8.375" bestFit="1" customWidth="1"/>
    <col min="3" max="3" width="10.25" bestFit="1" customWidth="1"/>
    <col min="4" max="4" width="29.125" bestFit="1" customWidth="1"/>
    <col min="5" max="5" width="57" hidden="1" customWidth="1"/>
    <col min="6" max="6" width="13.625" hidden="1" customWidth="1"/>
    <col min="7" max="7" width="23.625" hidden="1" customWidth="1"/>
    <col min="8" max="8" width="9" hidden="1" customWidth="1"/>
    <col min="9" max="9" width="10.75" bestFit="1" customWidth="1"/>
    <col min="10" max="10" width="11.625" bestFit="1" customWidth="1"/>
    <col min="11" max="11" width="10.375" bestFit="1" customWidth="1"/>
    <col min="12" max="12" width="13.25" hidden="1" customWidth="1"/>
    <col min="13" max="13" width="14.25" hidden="1" customWidth="1"/>
    <col min="14" max="14" width="13.375" hidden="1" customWidth="1"/>
    <col min="15" max="15" width="7.75" bestFit="1" customWidth="1"/>
    <col min="16" max="16" width="7.875" bestFit="1" customWidth="1"/>
    <col min="17" max="17" width="16.375" bestFit="1" customWidth="1"/>
    <col min="18" max="18" width="11.875" bestFit="1" customWidth="1"/>
    <col min="19" max="19" width="8.75" bestFit="1" customWidth="1"/>
    <col min="20" max="20" width="5.75" bestFit="1" customWidth="1"/>
    <col min="21" max="21" width="4.875" bestFit="1" customWidth="1"/>
    <col min="22" max="22" width="7.375" bestFit="1" customWidth="1"/>
    <col min="23" max="24" width="6.25" bestFit="1" customWidth="1"/>
    <col min="25" max="25" width="5.375" bestFit="1" customWidth="1"/>
    <col min="26" max="26" width="9.25" bestFit="1" customWidth="1"/>
    <col min="27" max="27" width="6.875" bestFit="1" customWidth="1"/>
    <col min="28" max="28" width="13.375" bestFit="1" customWidth="1"/>
    <col min="29" max="29" width="13.25" bestFit="1" customWidth="1"/>
    <col min="30" max="30" width="11.625" bestFit="1" customWidth="1"/>
    <col min="31" max="31" width="11.25" bestFit="1" customWidth="1"/>
    <col min="32" max="32" width="11.125" bestFit="1" customWidth="1"/>
    <col min="33" max="33" width="13.125" bestFit="1" customWidth="1"/>
    <col min="34" max="34" width="23.375" bestFit="1" customWidth="1"/>
    <col min="35" max="35" width="53.75" bestFit="1" customWidth="1"/>
    <col min="36" max="36" width="81" bestFit="1" customWidth="1"/>
    <col min="37" max="37" width="10.25" bestFit="1" customWidth="1"/>
    <col min="38" max="38" width="44" bestFit="1" customWidth="1"/>
    <col min="39" max="39" width="10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5" t="s">
        <v>1244</v>
      </c>
      <c r="R1" s="5" t="s">
        <v>1245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39" hidden="1">
      <c r="A2" t="s">
        <v>530</v>
      </c>
      <c r="B2" t="s">
        <v>38</v>
      </c>
      <c r="C2">
        <v>1</v>
      </c>
      <c r="D2" t="s">
        <v>531</v>
      </c>
      <c r="E2" t="s">
        <v>531</v>
      </c>
      <c r="F2" t="s">
        <v>41</v>
      </c>
      <c r="G2" t="s">
        <v>376</v>
      </c>
      <c r="H2">
        <v>7</v>
      </c>
      <c r="I2">
        <v>7</v>
      </c>
      <c r="J2">
        <v>270</v>
      </c>
      <c r="K2">
        <v>100</v>
      </c>
      <c r="L2">
        <v>0</v>
      </c>
      <c r="M2">
        <v>0</v>
      </c>
      <c r="N2">
        <v>0</v>
      </c>
      <c r="O2">
        <v>0</v>
      </c>
      <c r="P2">
        <v>11</v>
      </c>
      <c r="Q2" s="5">
        <f>unitlist3[[#This Row],[health]]/unitlist3[[#This Row],[buildtime]]</f>
        <v>0.11</v>
      </c>
      <c r="R2" s="5">
        <f>unitlist3[[#This Row],[dps]]/unitlist3[[#This Row],[metalcost]]</f>
        <v>63.571428571428569</v>
      </c>
      <c r="Z2">
        <v>1</v>
      </c>
      <c r="AA2">
        <v>445</v>
      </c>
      <c r="AB2">
        <v>0</v>
      </c>
      <c r="AF2">
        <v>83</v>
      </c>
      <c r="AG2">
        <v>125</v>
      </c>
      <c r="AH2" t="s">
        <v>109</v>
      </c>
      <c r="AI2" t="s">
        <v>41</v>
      </c>
      <c r="AJ2" t="s">
        <v>41</v>
      </c>
      <c r="AK2">
        <v>1</v>
      </c>
      <c r="AL2" t="s">
        <v>1397</v>
      </c>
      <c r="AM2" t="s">
        <v>41</v>
      </c>
    </row>
    <row r="3" spans="1:39" hidden="1">
      <c r="A3" t="s">
        <v>1054</v>
      </c>
      <c r="B3" t="s">
        <v>806</v>
      </c>
      <c r="C3">
        <v>1</v>
      </c>
      <c r="D3" t="s">
        <v>531</v>
      </c>
      <c r="E3" t="s">
        <v>531</v>
      </c>
      <c r="F3" t="s">
        <v>41</v>
      </c>
      <c r="G3" t="s">
        <v>376</v>
      </c>
      <c r="H3">
        <v>4</v>
      </c>
      <c r="I3">
        <v>7</v>
      </c>
      <c r="J3">
        <v>270</v>
      </c>
      <c r="K3">
        <v>100</v>
      </c>
      <c r="L3">
        <v>0</v>
      </c>
      <c r="M3">
        <v>0</v>
      </c>
      <c r="N3">
        <v>0</v>
      </c>
      <c r="O3">
        <v>0</v>
      </c>
      <c r="P3">
        <v>11</v>
      </c>
      <c r="Q3" s="5">
        <f>unitlist3[[#This Row],[health]]/unitlist3[[#This Row],[buildtime]]</f>
        <v>0.11</v>
      </c>
      <c r="R3" s="5">
        <f>unitlist3[[#This Row],[dps]]/unitlist3[[#This Row],[metalcost]]</f>
        <v>63.571428571428569</v>
      </c>
      <c r="Z3">
        <v>1</v>
      </c>
      <c r="AA3">
        <v>445</v>
      </c>
      <c r="AB3">
        <v>0</v>
      </c>
      <c r="AF3">
        <v>83</v>
      </c>
      <c r="AG3">
        <v>125</v>
      </c>
      <c r="AH3" t="s">
        <v>109</v>
      </c>
      <c r="AI3" t="s">
        <v>41</v>
      </c>
      <c r="AJ3" t="s">
        <v>41</v>
      </c>
      <c r="AK3">
        <v>1</v>
      </c>
      <c r="AL3" t="s">
        <v>1587</v>
      </c>
      <c r="AM3" t="s">
        <v>41</v>
      </c>
    </row>
    <row r="4" spans="1:39" hidden="1">
      <c r="A4" t="s">
        <v>373</v>
      </c>
      <c r="B4" t="s">
        <v>38</v>
      </c>
      <c r="C4">
        <v>1</v>
      </c>
      <c r="D4" t="s">
        <v>374</v>
      </c>
      <c r="E4" t="s">
        <v>375</v>
      </c>
      <c r="F4" t="s">
        <v>41</v>
      </c>
      <c r="G4" t="s">
        <v>376</v>
      </c>
      <c r="H4">
        <v>12</v>
      </c>
      <c r="I4">
        <v>32</v>
      </c>
      <c r="J4">
        <v>1600</v>
      </c>
      <c r="K4">
        <v>400</v>
      </c>
      <c r="L4">
        <v>0</v>
      </c>
      <c r="M4">
        <v>0</v>
      </c>
      <c r="N4">
        <v>0</v>
      </c>
      <c r="O4">
        <v>0</v>
      </c>
      <c r="P4">
        <v>11</v>
      </c>
      <c r="Q4" s="5">
        <f>unitlist3[[#This Row],[health]]/unitlist3[[#This Row],[buildtime]]</f>
        <v>2.75E-2</v>
      </c>
      <c r="R4" s="5">
        <f>unitlist3[[#This Row],[dps]]/unitlist3[[#This Row],[metalcost]]</f>
        <v>60.625</v>
      </c>
      <c r="Z4">
        <v>1</v>
      </c>
      <c r="AA4">
        <v>1940</v>
      </c>
      <c r="AB4">
        <v>0</v>
      </c>
      <c r="AF4">
        <v>78</v>
      </c>
      <c r="AG4">
        <v>117</v>
      </c>
      <c r="AH4" t="s">
        <v>377</v>
      </c>
      <c r="AI4" t="s">
        <v>41</v>
      </c>
      <c r="AJ4" t="s">
        <v>41</v>
      </c>
      <c r="AK4">
        <v>1</v>
      </c>
      <c r="AL4" t="s">
        <v>1353</v>
      </c>
      <c r="AM4" t="s">
        <v>41</v>
      </c>
    </row>
    <row r="5" spans="1:39" hidden="1">
      <c r="A5" t="s">
        <v>960</v>
      </c>
      <c r="B5" t="s">
        <v>806</v>
      </c>
      <c r="C5">
        <v>1</v>
      </c>
      <c r="D5" t="s">
        <v>374</v>
      </c>
      <c r="E5" t="s">
        <v>375</v>
      </c>
      <c r="F5" t="s">
        <v>41</v>
      </c>
      <c r="G5" t="s">
        <v>376</v>
      </c>
      <c r="H5">
        <v>12</v>
      </c>
      <c r="I5">
        <v>32</v>
      </c>
      <c r="J5">
        <v>1600</v>
      </c>
      <c r="K5">
        <v>400</v>
      </c>
      <c r="L5">
        <v>0</v>
      </c>
      <c r="M5">
        <v>0</v>
      </c>
      <c r="N5">
        <v>0</v>
      </c>
      <c r="O5">
        <v>0</v>
      </c>
      <c r="P5">
        <v>11</v>
      </c>
      <c r="Q5" s="5">
        <f>unitlist3[[#This Row],[health]]/unitlist3[[#This Row],[buildtime]]</f>
        <v>2.75E-2</v>
      </c>
      <c r="R5" s="5">
        <f>unitlist3[[#This Row],[dps]]/unitlist3[[#This Row],[metalcost]]</f>
        <v>60.625</v>
      </c>
      <c r="Z5">
        <v>1</v>
      </c>
      <c r="AA5">
        <v>1940</v>
      </c>
      <c r="AB5">
        <v>0</v>
      </c>
      <c r="AF5">
        <v>72</v>
      </c>
      <c r="AG5">
        <v>107</v>
      </c>
      <c r="AH5" t="s">
        <v>377</v>
      </c>
      <c r="AI5" t="s">
        <v>41</v>
      </c>
      <c r="AJ5" t="s">
        <v>41</v>
      </c>
      <c r="AK5">
        <v>1</v>
      </c>
      <c r="AL5" t="s">
        <v>1542</v>
      </c>
      <c r="AM5" t="s">
        <v>41</v>
      </c>
    </row>
    <row r="6" spans="1:39" hidden="1">
      <c r="A6" t="s">
        <v>534</v>
      </c>
      <c r="B6" t="s">
        <v>38</v>
      </c>
      <c r="C6">
        <v>1</v>
      </c>
      <c r="D6" t="s">
        <v>374</v>
      </c>
      <c r="E6" t="s">
        <v>374</v>
      </c>
      <c r="F6" t="s">
        <v>41</v>
      </c>
      <c r="G6" t="s">
        <v>376</v>
      </c>
      <c r="H6">
        <v>12</v>
      </c>
      <c r="I6">
        <v>50</v>
      </c>
      <c r="J6">
        <v>2800</v>
      </c>
      <c r="K6">
        <v>700</v>
      </c>
      <c r="L6">
        <v>0</v>
      </c>
      <c r="M6">
        <v>0</v>
      </c>
      <c r="N6">
        <v>0</v>
      </c>
      <c r="O6">
        <v>0</v>
      </c>
      <c r="P6">
        <v>11</v>
      </c>
      <c r="Q6" s="5">
        <f>unitlist3[[#This Row],[health]]/unitlist3[[#This Row],[buildtime]]</f>
        <v>1.5714285714285715E-2</v>
      </c>
      <c r="R6" s="5">
        <f>unitlist3[[#This Row],[dps]]/unitlist3[[#This Row],[metalcost]]</f>
        <v>60</v>
      </c>
      <c r="Z6">
        <v>1</v>
      </c>
      <c r="AA6">
        <v>3000</v>
      </c>
      <c r="AB6">
        <v>0</v>
      </c>
      <c r="AF6">
        <v>83</v>
      </c>
      <c r="AG6">
        <v>125</v>
      </c>
      <c r="AH6" t="s">
        <v>109</v>
      </c>
      <c r="AI6" t="s">
        <v>41</v>
      </c>
      <c r="AJ6" t="s">
        <v>41</v>
      </c>
      <c r="AK6">
        <v>1</v>
      </c>
      <c r="AL6" t="s">
        <v>1399</v>
      </c>
      <c r="AM6" t="s">
        <v>41</v>
      </c>
    </row>
    <row r="7" spans="1:39" hidden="1">
      <c r="A7" t="s">
        <v>1056</v>
      </c>
      <c r="B7" t="s">
        <v>806</v>
      </c>
      <c r="C7">
        <v>1</v>
      </c>
      <c r="D7" t="s">
        <v>374</v>
      </c>
      <c r="E7" t="s">
        <v>374</v>
      </c>
      <c r="F7" t="s">
        <v>41</v>
      </c>
      <c r="G7" t="s">
        <v>376</v>
      </c>
      <c r="H7">
        <v>12</v>
      </c>
      <c r="I7">
        <v>50</v>
      </c>
      <c r="J7">
        <v>2800</v>
      </c>
      <c r="K7">
        <v>700</v>
      </c>
      <c r="L7">
        <v>0</v>
      </c>
      <c r="M7">
        <v>0</v>
      </c>
      <c r="N7">
        <v>0</v>
      </c>
      <c r="O7">
        <v>0</v>
      </c>
      <c r="P7">
        <v>11</v>
      </c>
      <c r="Q7" s="5">
        <f>unitlist3[[#This Row],[health]]/unitlist3[[#This Row],[buildtime]]</f>
        <v>1.5714285714285715E-2</v>
      </c>
      <c r="R7" s="5">
        <f>unitlist3[[#This Row],[dps]]/unitlist3[[#This Row],[metalcost]]</f>
        <v>60</v>
      </c>
      <c r="Z7">
        <v>1</v>
      </c>
      <c r="AA7">
        <v>3000</v>
      </c>
      <c r="AB7">
        <v>0</v>
      </c>
      <c r="AF7">
        <v>83</v>
      </c>
      <c r="AG7">
        <v>125</v>
      </c>
      <c r="AH7" t="s">
        <v>109</v>
      </c>
      <c r="AI7" t="s">
        <v>41</v>
      </c>
      <c r="AJ7" t="s">
        <v>41</v>
      </c>
      <c r="AK7">
        <v>1</v>
      </c>
      <c r="AL7" t="s">
        <v>1589</v>
      </c>
      <c r="AM7" t="s">
        <v>41</v>
      </c>
    </row>
    <row r="8" spans="1:39" hidden="1">
      <c r="A8" t="s">
        <v>532</v>
      </c>
      <c r="B8" t="s">
        <v>38</v>
      </c>
      <c r="C8">
        <v>1</v>
      </c>
      <c r="D8" t="s">
        <v>533</v>
      </c>
      <c r="E8" t="s">
        <v>533</v>
      </c>
      <c r="F8" t="s">
        <v>41</v>
      </c>
      <c r="G8" t="s">
        <v>376</v>
      </c>
      <c r="H8">
        <v>8</v>
      </c>
      <c r="I8">
        <v>25</v>
      </c>
      <c r="J8">
        <v>1050</v>
      </c>
      <c r="K8">
        <v>300</v>
      </c>
      <c r="L8">
        <v>0</v>
      </c>
      <c r="M8">
        <v>0</v>
      </c>
      <c r="N8">
        <v>0</v>
      </c>
      <c r="O8">
        <v>0</v>
      </c>
      <c r="P8">
        <v>11</v>
      </c>
      <c r="Q8" s="5">
        <f>unitlist3[[#This Row],[health]]/unitlist3[[#This Row],[buildtime]]</f>
        <v>3.6666666666666667E-2</v>
      </c>
      <c r="R8" s="5">
        <f>unitlist3[[#This Row],[dps]]/unitlist3[[#This Row],[metalcost]]</f>
        <v>44.4</v>
      </c>
      <c r="Z8">
        <v>1</v>
      </c>
      <c r="AA8">
        <v>1110</v>
      </c>
      <c r="AB8">
        <v>0</v>
      </c>
      <c r="AF8">
        <v>83</v>
      </c>
      <c r="AG8">
        <v>125</v>
      </c>
      <c r="AH8" t="s">
        <v>109</v>
      </c>
      <c r="AI8" t="s">
        <v>41</v>
      </c>
      <c r="AJ8" t="s">
        <v>41</v>
      </c>
      <c r="AK8">
        <v>1</v>
      </c>
      <c r="AL8" t="s">
        <v>1398</v>
      </c>
      <c r="AM8" t="s">
        <v>41</v>
      </c>
    </row>
    <row r="9" spans="1:39" hidden="1">
      <c r="A9" t="s">
        <v>1055</v>
      </c>
      <c r="B9" t="s">
        <v>806</v>
      </c>
      <c r="C9">
        <v>1</v>
      </c>
      <c r="D9" t="s">
        <v>533</v>
      </c>
      <c r="E9" t="s">
        <v>533</v>
      </c>
      <c r="F9" t="s">
        <v>41</v>
      </c>
      <c r="G9" t="s">
        <v>376</v>
      </c>
      <c r="H9">
        <v>8</v>
      </c>
      <c r="I9">
        <v>25</v>
      </c>
      <c r="J9">
        <v>1050</v>
      </c>
      <c r="K9">
        <v>300</v>
      </c>
      <c r="L9">
        <v>0</v>
      </c>
      <c r="M9">
        <v>0</v>
      </c>
      <c r="N9">
        <v>0</v>
      </c>
      <c r="O9">
        <v>0</v>
      </c>
      <c r="P9">
        <v>11</v>
      </c>
      <c r="Q9" s="5">
        <f>unitlist3[[#This Row],[health]]/unitlist3[[#This Row],[buildtime]]</f>
        <v>3.6666666666666667E-2</v>
      </c>
      <c r="R9" s="5">
        <f>unitlist3[[#This Row],[dps]]/unitlist3[[#This Row],[metalcost]]</f>
        <v>44.4</v>
      </c>
      <c r="Z9">
        <v>1</v>
      </c>
      <c r="AA9">
        <v>1110</v>
      </c>
      <c r="AB9">
        <v>0</v>
      </c>
      <c r="AF9">
        <v>83</v>
      </c>
      <c r="AG9">
        <v>125</v>
      </c>
      <c r="AH9" t="s">
        <v>109</v>
      </c>
      <c r="AI9" t="s">
        <v>41</v>
      </c>
      <c r="AJ9" t="s">
        <v>41</v>
      </c>
      <c r="AK9">
        <v>1</v>
      </c>
      <c r="AL9" t="s">
        <v>1588</v>
      </c>
      <c r="AM9" t="s">
        <v>41</v>
      </c>
    </row>
    <row r="10" spans="1:39">
      <c r="A10" t="s">
        <v>241</v>
      </c>
      <c r="B10" t="s">
        <v>38</v>
      </c>
      <c r="C10">
        <v>1</v>
      </c>
      <c r="D10" t="s">
        <v>242</v>
      </c>
      <c r="E10" t="s">
        <v>243</v>
      </c>
      <c r="F10" t="s">
        <v>41</v>
      </c>
      <c r="G10" t="s">
        <v>241</v>
      </c>
      <c r="H10">
        <v>64</v>
      </c>
      <c r="I10">
        <v>2700</v>
      </c>
      <c r="J10">
        <v>26000</v>
      </c>
      <c r="K10">
        <v>75000</v>
      </c>
      <c r="L10">
        <v>2</v>
      </c>
      <c r="M10">
        <v>25</v>
      </c>
      <c r="N10">
        <v>300</v>
      </c>
      <c r="O10">
        <v>38</v>
      </c>
      <c r="P10">
        <v>3700</v>
      </c>
      <c r="Q10" s="5">
        <f>unitlist3[[#This Row],[health]]/unitlist3[[#This Row],[buildtime]]</f>
        <v>4.9333333333333333E-2</v>
      </c>
      <c r="R10" s="5">
        <f>unitlist3[[#This Row],[dps]]/unitlist3[[#This Row],[metalcost]]</f>
        <v>41.295555555555552</v>
      </c>
      <c r="S10">
        <v>1</v>
      </c>
      <c r="AA10">
        <v>111498</v>
      </c>
      <c r="AB10">
        <v>300</v>
      </c>
      <c r="AD10">
        <v>450</v>
      </c>
      <c r="AE10">
        <v>700</v>
      </c>
      <c r="AF10">
        <v>450</v>
      </c>
      <c r="AG10">
        <v>675</v>
      </c>
      <c r="AH10" t="s">
        <v>244</v>
      </c>
      <c r="AI10" t="s">
        <v>245</v>
      </c>
      <c r="AJ10" t="s">
        <v>246</v>
      </c>
      <c r="AK10">
        <v>0</v>
      </c>
      <c r="AL10" t="s">
        <v>247</v>
      </c>
      <c r="AM10" t="s">
        <v>41</v>
      </c>
    </row>
    <row r="11" spans="1:39">
      <c r="A11" t="s">
        <v>885</v>
      </c>
      <c r="B11" t="s">
        <v>806</v>
      </c>
      <c r="C11">
        <v>1</v>
      </c>
      <c r="D11" t="s">
        <v>886</v>
      </c>
      <c r="E11" t="s">
        <v>243</v>
      </c>
      <c r="F11" t="s">
        <v>41</v>
      </c>
      <c r="G11" t="s">
        <v>885</v>
      </c>
      <c r="H11">
        <v>64</v>
      </c>
      <c r="I11">
        <v>2700</v>
      </c>
      <c r="J11">
        <v>26000</v>
      </c>
      <c r="K11">
        <v>75000</v>
      </c>
      <c r="L11">
        <v>2</v>
      </c>
      <c r="M11">
        <v>25</v>
      </c>
      <c r="N11">
        <v>300</v>
      </c>
      <c r="O11">
        <v>38</v>
      </c>
      <c r="P11">
        <v>3700</v>
      </c>
      <c r="Q11" s="5">
        <f>unitlist3[[#This Row],[health]]/unitlist3[[#This Row],[buildtime]]</f>
        <v>4.9333333333333333E-2</v>
      </c>
      <c r="R11" s="5">
        <f>unitlist3[[#This Row],[dps]]/unitlist3[[#This Row],[metalcost]]</f>
        <v>41.295555555555552</v>
      </c>
      <c r="S11">
        <v>1</v>
      </c>
      <c r="AA11">
        <v>111498</v>
      </c>
      <c r="AB11">
        <v>300</v>
      </c>
      <c r="AD11">
        <v>450</v>
      </c>
      <c r="AE11">
        <v>700</v>
      </c>
      <c r="AF11">
        <v>450</v>
      </c>
      <c r="AG11">
        <v>675</v>
      </c>
      <c r="AH11" t="s">
        <v>244</v>
      </c>
      <c r="AI11" t="s">
        <v>245</v>
      </c>
      <c r="AJ11" t="s">
        <v>887</v>
      </c>
      <c r="AK11">
        <v>0</v>
      </c>
      <c r="AL11" t="s">
        <v>888</v>
      </c>
      <c r="AM11" t="s">
        <v>41</v>
      </c>
    </row>
    <row r="12" spans="1:39">
      <c r="A12" t="s">
        <v>769</v>
      </c>
      <c r="B12" t="s">
        <v>38</v>
      </c>
      <c r="C12">
        <v>2</v>
      </c>
      <c r="D12" t="s">
        <v>770</v>
      </c>
      <c r="E12" t="s">
        <v>771</v>
      </c>
      <c r="F12" t="s">
        <v>41</v>
      </c>
      <c r="G12" t="s">
        <v>772</v>
      </c>
      <c r="H12">
        <v>14</v>
      </c>
      <c r="I12">
        <v>65</v>
      </c>
      <c r="J12">
        <v>5800</v>
      </c>
      <c r="K12">
        <v>7900</v>
      </c>
      <c r="L12">
        <v>0</v>
      </c>
      <c r="M12">
        <v>0</v>
      </c>
      <c r="N12">
        <v>0</v>
      </c>
      <c r="O12">
        <v>84</v>
      </c>
      <c r="P12">
        <v>445</v>
      </c>
      <c r="Q12" s="5">
        <f>unitlist3[[#This Row],[health]]/unitlist3[[#This Row],[buildtime]]</f>
        <v>5.6329113924050635E-2</v>
      </c>
      <c r="R12" s="5">
        <f>unitlist3[[#This Row],[dps]]/unitlist3[[#This Row],[metalcost]]</f>
        <v>30.76923076923077</v>
      </c>
      <c r="S12">
        <v>1</v>
      </c>
      <c r="AA12">
        <v>2000</v>
      </c>
      <c r="AB12">
        <v>42</v>
      </c>
      <c r="AF12">
        <v>273</v>
      </c>
      <c r="AG12">
        <v>410</v>
      </c>
      <c r="AH12" t="s">
        <v>41</v>
      </c>
      <c r="AI12" t="s">
        <v>773</v>
      </c>
      <c r="AJ12" t="s">
        <v>41</v>
      </c>
      <c r="AK12">
        <v>1</v>
      </c>
      <c r="AL12" t="s">
        <v>1464</v>
      </c>
      <c r="AM12" t="s">
        <v>41</v>
      </c>
    </row>
    <row r="13" spans="1:39">
      <c r="A13" t="s">
        <v>1107</v>
      </c>
      <c r="B13" t="s">
        <v>806</v>
      </c>
      <c r="C13">
        <v>2</v>
      </c>
      <c r="D13" t="s">
        <v>1108</v>
      </c>
      <c r="E13" t="s">
        <v>1109</v>
      </c>
      <c r="F13" t="s">
        <v>41</v>
      </c>
      <c r="G13" t="s">
        <v>1110</v>
      </c>
      <c r="H13">
        <v>3</v>
      </c>
      <c r="I13">
        <v>69</v>
      </c>
      <c r="J13">
        <v>5800</v>
      </c>
      <c r="K13">
        <v>7900</v>
      </c>
      <c r="L13">
        <v>0</v>
      </c>
      <c r="M13">
        <v>0</v>
      </c>
      <c r="N13">
        <v>0</v>
      </c>
      <c r="O13">
        <v>76</v>
      </c>
      <c r="P13">
        <v>620</v>
      </c>
      <c r="Q13" s="5">
        <f>unitlist3[[#This Row],[health]]/unitlist3[[#This Row],[buildtime]]</f>
        <v>7.848101265822785E-2</v>
      </c>
      <c r="R13" s="5">
        <f>unitlist3[[#This Row],[dps]]/unitlist3[[#This Row],[metalcost]]</f>
        <v>28.985507246376812</v>
      </c>
      <c r="S13">
        <v>1</v>
      </c>
      <c r="AA13">
        <v>2000</v>
      </c>
      <c r="AB13">
        <v>42</v>
      </c>
      <c r="AF13">
        <v>260</v>
      </c>
      <c r="AG13">
        <v>390</v>
      </c>
      <c r="AH13" t="s">
        <v>41</v>
      </c>
      <c r="AI13" t="s">
        <v>773</v>
      </c>
      <c r="AJ13" t="s">
        <v>41</v>
      </c>
      <c r="AK13">
        <v>1</v>
      </c>
      <c r="AL13" t="s">
        <v>1615</v>
      </c>
      <c r="AM13" t="s">
        <v>41</v>
      </c>
    </row>
    <row r="14" spans="1:39" hidden="1">
      <c r="A14" t="s">
        <v>420</v>
      </c>
      <c r="B14" t="s">
        <v>38</v>
      </c>
      <c r="C14">
        <v>2</v>
      </c>
      <c r="D14" t="s">
        <v>421</v>
      </c>
      <c r="E14" t="s">
        <v>422</v>
      </c>
      <c r="F14" t="s">
        <v>41</v>
      </c>
      <c r="G14" t="s">
        <v>423</v>
      </c>
      <c r="H14">
        <v>9</v>
      </c>
      <c r="I14">
        <v>140</v>
      </c>
      <c r="J14">
        <v>5700</v>
      </c>
      <c r="K14">
        <v>8900</v>
      </c>
      <c r="L14">
        <v>0</v>
      </c>
      <c r="M14">
        <v>0</v>
      </c>
      <c r="N14">
        <v>0</v>
      </c>
      <c r="O14">
        <v>359</v>
      </c>
      <c r="P14">
        <v>370</v>
      </c>
      <c r="Q14" s="5">
        <f>unitlist3[[#This Row],[health]]/unitlist3[[#This Row],[buildtime]]</f>
        <v>4.1573033707865172E-2</v>
      </c>
      <c r="R14" s="5">
        <f>unitlist3[[#This Row],[dps]]/unitlist3[[#This Row],[metalcost]]</f>
        <v>3.8285714285714287</v>
      </c>
      <c r="U14">
        <v>1</v>
      </c>
      <c r="AA14">
        <v>536</v>
      </c>
      <c r="AB14">
        <v>740</v>
      </c>
      <c r="AF14">
        <v>250</v>
      </c>
      <c r="AG14">
        <v>1100</v>
      </c>
      <c r="AH14" t="s">
        <v>424</v>
      </c>
      <c r="AI14" t="s">
        <v>88</v>
      </c>
      <c r="AJ14" t="s">
        <v>41</v>
      </c>
      <c r="AK14">
        <v>1</v>
      </c>
      <c r="AL14" t="s">
        <v>1365</v>
      </c>
      <c r="AM14" t="s">
        <v>41</v>
      </c>
    </row>
    <row r="15" spans="1:39" hidden="1">
      <c r="A15" t="s">
        <v>1208</v>
      </c>
      <c r="B15" t="s">
        <v>806</v>
      </c>
      <c r="C15">
        <v>2</v>
      </c>
      <c r="D15" t="s">
        <v>1209</v>
      </c>
      <c r="E15" t="s">
        <v>422</v>
      </c>
      <c r="F15" t="s">
        <v>41</v>
      </c>
      <c r="G15" t="s">
        <v>423</v>
      </c>
      <c r="H15">
        <v>7</v>
      </c>
      <c r="I15">
        <v>135</v>
      </c>
      <c r="J15">
        <v>4750</v>
      </c>
      <c r="K15">
        <v>8400</v>
      </c>
      <c r="L15">
        <v>0</v>
      </c>
      <c r="M15">
        <v>0</v>
      </c>
      <c r="N15">
        <v>0</v>
      </c>
      <c r="O15">
        <v>380</v>
      </c>
      <c r="P15">
        <v>290</v>
      </c>
      <c r="Q15" s="5">
        <f>unitlist3[[#This Row],[health]]/unitlist3[[#This Row],[buildtime]]</f>
        <v>3.4523809523809526E-2</v>
      </c>
      <c r="R15" s="5">
        <f>unitlist3[[#This Row],[dps]]/unitlist3[[#This Row],[metalcost]]</f>
        <v>3.7037037037037037</v>
      </c>
      <c r="U15">
        <v>1</v>
      </c>
      <c r="AA15">
        <v>500</v>
      </c>
      <c r="AB15">
        <v>740</v>
      </c>
      <c r="AF15">
        <v>250</v>
      </c>
      <c r="AG15">
        <v>1100</v>
      </c>
      <c r="AH15" t="s">
        <v>424</v>
      </c>
      <c r="AI15" t="s">
        <v>88</v>
      </c>
      <c r="AJ15" t="s">
        <v>41</v>
      </c>
      <c r="AK15">
        <v>1</v>
      </c>
      <c r="AL15" t="s">
        <v>1664</v>
      </c>
      <c r="AM15" t="s">
        <v>41</v>
      </c>
    </row>
    <row r="16" spans="1:39">
      <c r="A16" t="s">
        <v>1149</v>
      </c>
      <c r="B16" t="s">
        <v>806</v>
      </c>
      <c r="C16">
        <v>2</v>
      </c>
      <c r="D16" t="s">
        <v>1150</v>
      </c>
      <c r="E16" t="s">
        <v>1151</v>
      </c>
      <c r="F16" t="s">
        <v>41</v>
      </c>
      <c r="G16" t="s">
        <v>1149</v>
      </c>
      <c r="H16">
        <v>12</v>
      </c>
      <c r="I16">
        <v>755</v>
      </c>
      <c r="J16">
        <v>27000</v>
      </c>
      <c r="K16">
        <v>17000</v>
      </c>
      <c r="L16">
        <v>0</v>
      </c>
      <c r="M16">
        <v>0</v>
      </c>
      <c r="N16">
        <v>0</v>
      </c>
      <c r="O16">
        <v>84</v>
      </c>
      <c r="P16">
        <v>355</v>
      </c>
      <c r="Q16" s="5">
        <f>unitlist3[[#This Row],[health]]/unitlist3[[#This Row],[buildtime]]</f>
        <v>2.088235294117647E-2</v>
      </c>
      <c r="R16" s="5">
        <f>unitlist3[[#This Row],[dps]]/unitlist3[[#This Row],[metalcost]]</f>
        <v>3.576158940397351</v>
      </c>
      <c r="S16">
        <v>1</v>
      </c>
      <c r="AA16">
        <v>2700</v>
      </c>
      <c r="AB16">
        <v>42</v>
      </c>
      <c r="AF16">
        <v>260</v>
      </c>
      <c r="AG16">
        <v>390</v>
      </c>
      <c r="AH16" t="s">
        <v>98</v>
      </c>
      <c r="AI16" t="s">
        <v>773</v>
      </c>
      <c r="AJ16" t="s">
        <v>41</v>
      </c>
      <c r="AK16">
        <v>1</v>
      </c>
      <c r="AL16" t="s">
        <v>1633</v>
      </c>
      <c r="AM16" t="s">
        <v>41</v>
      </c>
    </row>
    <row r="17" spans="1:39" hidden="1">
      <c r="A17" t="s">
        <v>665</v>
      </c>
      <c r="B17" t="s">
        <v>38</v>
      </c>
      <c r="C17">
        <v>1</v>
      </c>
      <c r="D17" t="s">
        <v>666</v>
      </c>
      <c r="E17" t="s">
        <v>667</v>
      </c>
      <c r="F17" t="s">
        <v>41</v>
      </c>
      <c r="G17" t="s">
        <v>668</v>
      </c>
      <c r="H17">
        <v>12</v>
      </c>
      <c r="I17">
        <v>90</v>
      </c>
      <c r="J17">
        <v>4500</v>
      </c>
      <c r="K17">
        <v>5500</v>
      </c>
      <c r="L17">
        <v>0</v>
      </c>
      <c r="M17">
        <v>0</v>
      </c>
      <c r="N17">
        <v>0</v>
      </c>
      <c r="O17">
        <v>311</v>
      </c>
      <c r="P17">
        <v>220</v>
      </c>
      <c r="Q17" s="5">
        <f>unitlist3[[#This Row],[health]]/unitlist3[[#This Row],[buildtime]]</f>
        <v>0.04</v>
      </c>
      <c r="R17" s="5">
        <f>unitlist3[[#This Row],[dps]]/unitlist3[[#This Row],[metalcost]]</f>
        <v>2.8</v>
      </c>
      <c r="S17">
        <v>1</v>
      </c>
      <c r="U17">
        <v>1</v>
      </c>
      <c r="AA17">
        <v>252</v>
      </c>
      <c r="AB17">
        <v>710</v>
      </c>
      <c r="AF17">
        <v>230</v>
      </c>
      <c r="AG17">
        <v>950</v>
      </c>
      <c r="AH17" t="s">
        <v>41</v>
      </c>
      <c r="AI17" t="s">
        <v>88</v>
      </c>
      <c r="AJ17" t="s">
        <v>41</v>
      </c>
      <c r="AK17">
        <v>1</v>
      </c>
      <c r="AL17" t="s">
        <v>1434</v>
      </c>
      <c r="AM17" t="s">
        <v>41</v>
      </c>
    </row>
    <row r="18" spans="1:39" hidden="1">
      <c r="A18" t="s">
        <v>1130</v>
      </c>
      <c r="B18" t="s">
        <v>806</v>
      </c>
      <c r="C18">
        <v>1</v>
      </c>
      <c r="D18" t="s">
        <v>1131</v>
      </c>
      <c r="E18" t="s">
        <v>667</v>
      </c>
      <c r="F18" t="s">
        <v>41</v>
      </c>
      <c r="G18" t="s">
        <v>668</v>
      </c>
      <c r="H18">
        <v>8</v>
      </c>
      <c r="I18">
        <v>90</v>
      </c>
      <c r="J18">
        <v>4600</v>
      </c>
      <c r="K18">
        <v>5200</v>
      </c>
      <c r="L18">
        <v>0</v>
      </c>
      <c r="M18">
        <v>0</v>
      </c>
      <c r="N18">
        <v>0</v>
      </c>
      <c r="O18">
        <v>316</v>
      </c>
      <c r="P18">
        <v>220</v>
      </c>
      <c r="Q18" s="5">
        <f>unitlist3[[#This Row],[health]]/unitlist3[[#This Row],[buildtime]]</f>
        <v>4.230769230769231E-2</v>
      </c>
      <c r="R18" s="5">
        <f>unitlist3[[#This Row],[dps]]/unitlist3[[#This Row],[metalcost]]</f>
        <v>2.6666666666666665</v>
      </c>
      <c r="S18">
        <v>1</v>
      </c>
      <c r="U18">
        <v>1</v>
      </c>
      <c r="AA18">
        <v>240</v>
      </c>
      <c r="AB18">
        <v>710</v>
      </c>
      <c r="AF18">
        <v>230</v>
      </c>
      <c r="AG18">
        <v>950</v>
      </c>
      <c r="AH18" t="s">
        <v>41</v>
      </c>
      <c r="AI18" t="s">
        <v>88</v>
      </c>
      <c r="AJ18" t="s">
        <v>41</v>
      </c>
      <c r="AK18">
        <v>1</v>
      </c>
      <c r="AL18" t="s">
        <v>1625</v>
      </c>
      <c r="AM18" t="s">
        <v>41</v>
      </c>
    </row>
    <row r="19" spans="1:39">
      <c r="A19" t="s">
        <v>369</v>
      </c>
      <c r="B19" t="s">
        <v>38</v>
      </c>
      <c r="C19">
        <v>1</v>
      </c>
      <c r="D19" t="s">
        <v>370</v>
      </c>
      <c r="E19" t="s">
        <v>371</v>
      </c>
      <c r="F19" t="s">
        <v>41</v>
      </c>
      <c r="G19" t="s">
        <v>372</v>
      </c>
      <c r="H19">
        <v>10</v>
      </c>
      <c r="I19">
        <v>17</v>
      </c>
      <c r="J19">
        <v>340</v>
      </c>
      <c r="K19">
        <v>800</v>
      </c>
      <c r="L19">
        <v>0</v>
      </c>
      <c r="M19">
        <v>0</v>
      </c>
      <c r="N19">
        <v>0</v>
      </c>
      <c r="O19">
        <v>132</v>
      </c>
      <c r="P19">
        <v>61</v>
      </c>
      <c r="Q19" s="5">
        <f>unitlist3[[#This Row],[health]]/unitlist3[[#This Row],[buildtime]]</f>
        <v>7.6249999999999998E-2</v>
      </c>
      <c r="R19" s="5">
        <f>unitlist3[[#This Row],[dps]]/unitlist3[[#This Row],[metalcost]]</f>
        <v>2.3529411764705883</v>
      </c>
      <c r="AA19">
        <v>40</v>
      </c>
      <c r="AB19">
        <v>140</v>
      </c>
      <c r="AF19">
        <v>600</v>
      </c>
      <c r="AG19">
        <v>900</v>
      </c>
      <c r="AH19" t="s">
        <v>41</v>
      </c>
      <c r="AI19" t="s">
        <v>128</v>
      </c>
      <c r="AJ19" t="s">
        <v>41</v>
      </c>
      <c r="AK19">
        <v>1</v>
      </c>
      <c r="AL19" t="s">
        <v>1352</v>
      </c>
      <c r="AM19" t="s">
        <v>41</v>
      </c>
    </row>
    <row r="20" spans="1:39">
      <c r="A20" t="s">
        <v>824</v>
      </c>
      <c r="B20" t="s">
        <v>806</v>
      </c>
      <c r="C20">
        <v>1</v>
      </c>
      <c r="D20" t="s">
        <v>825</v>
      </c>
      <c r="E20" t="s">
        <v>600</v>
      </c>
      <c r="F20" t="s">
        <v>41</v>
      </c>
      <c r="G20" t="s">
        <v>601</v>
      </c>
      <c r="H20">
        <v>26</v>
      </c>
      <c r="I20">
        <v>36</v>
      </c>
      <c r="J20">
        <v>880</v>
      </c>
      <c r="K20">
        <v>1280</v>
      </c>
      <c r="L20">
        <v>0</v>
      </c>
      <c r="M20">
        <v>0</v>
      </c>
      <c r="N20">
        <v>0</v>
      </c>
      <c r="O20">
        <v>81</v>
      </c>
      <c r="P20">
        <v>270</v>
      </c>
      <c r="Q20" s="5">
        <f>unitlist3[[#This Row],[health]]/unitlist3[[#This Row],[buildtime]]</f>
        <v>0.2109375</v>
      </c>
      <c r="R20" s="5">
        <f>unitlist3[[#This Row],[dps]]/unitlist3[[#This Row],[metalcost]]</f>
        <v>2.0555555555555554</v>
      </c>
      <c r="AA20">
        <v>74</v>
      </c>
      <c r="AB20">
        <v>230</v>
      </c>
      <c r="AF20">
        <v>500</v>
      </c>
      <c r="AG20">
        <v>750</v>
      </c>
      <c r="AH20" t="s">
        <v>41</v>
      </c>
      <c r="AI20" t="s">
        <v>128</v>
      </c>
      <c r="AJ20" t="s">
        <v>41</v>
      </c>
      <c r="AK20">
        <v>1</v>
      </c>
      <c r="AL20" t="s">
        <v>1484</v>
      </c>
      <c r="AM20" t="s">
        <v>41</v>
      </c>
    </row>
    <row r="21" spans="1:39" hidden="1">
      <c r="A21" t="s">
        <v>359</v>
      </c>
      <c r="B21" t="s">
        <v>38</v>
      </c>
      <c r="C21">
        <v>1</v>
      </c>
      <c r="D21" t="s">
        <v>360</v>
      </c>
      <c r="E21" t="s">
        <v>361</v>
      </c>
      <c r="F21" t="s">
        <v>41</v>
      </c>
      <c r="G21" t="s">
        <v>18</v>
      </c>
      <c r="H21">
        <v>8</v>
      </c>
      <c r="I21">
        <v>73</v>
      </c>
      <c r="J21">
        <v>2900</v>
      </c>
      <c r="K21">
        <v>3500</v>
      </c>
      <c r="L21">
        <v>0</v>
      </c>
      <c r="M21">
        <v>0</v>
      </c>
      <c r="N21">
        <v>0</v>
      </c>
      <c r="O21">
        <v>289</v>
      </c>
      <c r="P21">
        <v>167</v>
      </c>
      <c r="Q21" s="5">
        <f>unitlist3[[#This Row],[health]]/unitlist3[[#This Row],[buildtime]]</f>
        <v>4.7714285714285716E-2</v>
      </c>
      <c r="R21" s="5">
        <f>unitlist3[[#This Row],[dps]]/unitlist3[[#This Row],[metalcost]]</f>
        <v>1.904109589041096</v>
      </c>
      <c r="U21">
        <v>1</v>
      </c>
      <c r="AA21">
        <v>139</v>
      </c>
      <c r="AB21">
        <v>680</v>
      </c>
      <c r="AF21">
        <v>210</v>
      </c>
      <c r="AG21">
        <v>950</v>
      </c>
      <c r="AH21" t="s">
        <v>41</v>
      </c>
      <c r="AI21" t="s">
        <v>88</v>
      </c>
      <c r="AJ21" t="s">
        <v>41</v>
      </c>
      <c r="AK21">
        <v>1</v>
      </c>
      <c r="AL21" t="s">
        <v>1349</v>
      </c>
      <c r="AM21" t="s">
        <v>41</v>
      </c>
    </row>
    <row r="22" spans="1:39" hidden="1">
      <c r="A22" t="s">
        <v>1210</v>
      </c>
      <c r="B22" t="s">
        <v>806</v>
      </c>
      <c r="C22">
        <v>1</v>
      </c>
      <c r="D22" t="s">
        <v>1211</v>
      </c>
      <c r="E22" t="s">
        <v>361</v>
      </c>
      <c r="F22" t="s">
        <v>41</v>
      </c>
      <c r="G22" t="s">
        <v>18</v>
      </c>
      <c r="H22">
        <v>14</v>
      </c>
      <c r="I22">
        <v>73</v>
      </c>
      <c r="J22">
        <v>2800</v>
      </c>
      <c r="K22">
        <v>3330</v>
      </c>
      <c r="L22">
        <v>0</v>
      </c>
      <c r="M22">
        <v>0</v>
      </c>
      <c r="N22">
        <v>0</v>
      </c>
      <c r="O22">
        <v>298</v>
      </c>
      <c r="P22">
        <v>156</v>
      </c>
      <c r="Q22" s="5">
        <f>unitlist3[[#This Row],[health]]/unitlist3[[#This Row],[buildtime]]</f>
        <v>4.6846846846846847E-2</v>
      </c>
      <c r="R22" s="5">
        <f>unitlist3[[#This Row],[dps]]/unitlist3[[#This Row],[metalcost]]</f>
        <v>1.904109589041096</v>
      </c>
      <c r="U22">
        <v>1</v>
      </c>
      <c r="AA22">
        <v>139</v>
      </c>
      <c r="AB22">
        <v>680</v>
      </c>
      <c r="AF22">
        <v>210</v>
      </c>
      <c r="AG22">
        <v>950</v>
      </c>
      <c r="AH22" t="s">
        <v>41</v>
      </c>
      <c r="AI22" t="s">
        <v>88</v>
      </c>
      <c r="AJ22" t="s">
        <v>41</v>
      </c>
      <c r="AK22">
        <v>1</v>
      </c>
      <c r="AL22" t="s">
        <v>1665</v>
      </c>
      <c r="AM22" t="s">
        <v>41</v>
      </c>
    </row>
    <row r="23" spans="1:39" hidden="1">
      <c r="A23" t="s">
        <v>478</v>
      </c>
      <c r="B23" t="s">
        <v>38</v>
      </c>
      <c r="C23">
        <v>1</v>
      </c>
      <c r="D23" t="s">
        <v>479</v>
      </c>
      <c r="E23" t="s">
        <v>480</v>
      </c>
      <c r="F23" t="s">
        <v>41</v>
      </c>
      <c r="G23" t="s">
        <v>481</v>
      </c>
      <c r="H23">
        <v>78</v>
      </c>
      <c r="I23">
        <v>85</v>
      </c>
      <c r="J23">
        <v>680</v>
      </c>
      <c r="K23">
        <v>2660</v>
      </c>
      <c r="L23">
        <v>0</v>
      </c>
      <c r="M23">
        <v>0</v>
      </c>
      <c r="N23">
        <v>0</v>
      </c>
      <c r="O23">
        <v>0</v>
      </c>
      <c r="P23">
        <v>620</v>
      </c>
      <c r="Q23" s="5">
        <f>unitlist3[[#This Row],[health]]/unitlist3[[#This Row],[buildtime]]</f>
        <v>0.23308270676691728</v>
      </c>
      <c r="R23" s="5">
        <f>unitlist3[[#This Row],[dps]]/unitlist3[[#This Row],[metalcost]]</f>
        <v>1.8941176470588235</v>
      </c>
      <c r="Z23">
        <v>1</v>
      </c>
      <c r="AA23">
        <v>161</v>
      </c>
      <c r="AB23">
        <v>430</v>
      </c>
      <c r="AF23">
        <v>494</v>
      </c>
      <c r="AG23">
        <v>741</v>
      </c>
      <c r="AH23" t="s">
        <v>41</v>
      </c>
      <c r="AI23" t="s">
        <v>128</v>
      </c>
      <c r="AJ23" t="s">
        <v>41</v>
      </c>
      <c r="AK23">
        <v>1</v>
      </c>
      <c r="AL23" t="s">
        <v>1383</v>
      </c>
      <c r="AM23" t="s">
        <v>41</v>
      </c>
    </row>
    <row r="24" spans="1:39">
      <c r="A24" t="s">
        <v>598</v>
      </c>
      <c r="B24" t="s">
        <v>38</v>
      </c>
      <c r="C24">
        <v>1</v>
      </c>
      <c r="D24" t="s">
        <v>599</v>
      </c>
      <c r="E24" t="s">
        <v>600</v>
      </c>
      <c r="F24" t="s">
        <v>41</v>
      </c>
      <c r="G24" t="s">
        <v>601</v>
      </c>
      <c r="H24">
        <v>26</v>
      </c>
      <c r="I24">
        <v>48</v>
      </c>
      <c r="J24">
        <v>960</v>
      </c>
      <c r="K24">
        <v>1420</v>
      </c>
      <c r="L24">
        <v>0</v>
      </c>
      <c r="M24">
        <v>0</v>
      </c>
      <c r="N24">
        <v>0</v>
      </c>
      <c r="O24">
        <v>87</v>
      </c>
      <c r="P24">
        <v>335</v>
      </c>
      <c r="Q24" s="5">
        <f>unitlist3[[#This Row],[health]]/unitlist3[[#This Row],[buildtime]]</f>
        <v>0.23591549295774647</v>
      </c>
      <c r="R24" s="5">
        <f>unitlist3[[#This Row],[dps]]/unitlist3[[#This Row],[metalcost]]</f>
        <v>1.875</v>
      </c>
      <c r="AA24">
        <v>90</v>
      </c>
      <c r="AB24">
        <v>180</v>
      </c>
      <c r="AF24">
        <v>429</v>
      </c>
      <c r="AG24">
        <v>644</v>
      </c>
      <c r="AH24" t="s">
        <v>41</v>
      </c>
      <c r="AI24" t="s">
        <v>124</v>
      </c>
      <c r="AJ24" t="s">
        <v>41</v>
      </c>
      <c r="AK24">
        <v>1</v>
      </c>
      <c r="AL24" t="s">
        <v>1416</v>
      </c>
      <c r="AM24" t="s">
        <v>41</v>
      </c>
    </row>
    <row r="25" spans="1:39" hidden="1">
      <c r="A25" t="s">
        <v>1032</v>
      </c>
      <c r="B25" t="s">
        <v>806</v>
      </c>
      <c r="C25">
        <v>1</v>
      </c>
      <c r="D25" t="s">
        <v>1033</v>
      </c>
      <c r="E25" t="s">
        <v>480</v>
      </c>
      <c r="F25" t="s">
        <v>41</v>
      </c>
      <c r="G25" t="s">
        <v>481</v>
      </c>
      <c r="H25">
        <v>67</v>
      </c>
      <c r="I25">
        <v>90</v>
      </c>
      <c r="J25">
        <v>700</v>
      </c>
      <c r="K25">
        <v>2720</v>
      </c>
      <c r="L25">
        <v>0</v>
      </c>
      <c r="M25">
        <v>0</v>
      </c>
      <c r="N25">
        <v>0</v>
      </c>
      <c r="O25">
        <v>0</v>
      </c>
      <c r="P25">
        <v>650</v>
      </c>
      <c r="Q25" s="5">
        <f>unitlist3[[#This Row],[health]]/unitlist3[[#This Row],[buildtime]]</f>
        <v>0.23897058823529413</v>
      </c>
      <c r="R25" s="5">
        <f>unitlist3[[#This Row],[dps]]/unitlist3[[#This Row],[metalcost]]</f>
        <v>1.788888888888889</v>
      </c>
      <c r="Z25">
        <v>1</v>
      </c>
      <c r="AA25">
        <v>161</v>
      </c>
      <c r="AB25">
        <v>435</v>
      </c>
      <c r="AF25">
        <v>494</v>
      </c>
      <c r="AG25">
        <v>741</v>
      </c>
      <c r="AH25" t="s">
        <v>41</v>
      </c>
      <c r="AI25" t="s">
        <v>128</v>
      </c>
      <c r="AJ25" t="s">
        <v>41</v>
      </c>
      <c r="AK25">
        <v>1</v>
      </c>
      <c r="AL25" t="s">
        <v>1575</v>
      </c>
      <c r="AM25" t="s">
        <v>41</v>
      </c>
    </row>
    <row r="26" spans="1:39" hidden="1">
      <c r="A26" t="s">
        <v>1192</v>
      </c>
      <c r="B26" t="s">
        <v>806</v>
      </c>
      <c r="C26">
        <v>2</v>
      </c>
      <c r="D26" t="s">
        <v>1193</v>
      </c>
      <c r="E26" t="s">
        <v>1194</v>
      </c>
      <c r="F26" t="s">
        <v>41</v>
      </c>
      <c r="G26" t="s">
        <v>1195</v>
      </c>
      <c r="H26">
        <v>41</v>
      </c>
      <c r="I26">
        <v>1200</v>
      </c>
      <c r="J26">
        <v>14000</v>
      </c>
      <c r="K26">
        <v>59000</v>
      </c>
      <c r="L26">
        <v>0</v>
      </c>
      <c r="M26">
        <v>0</v>
      </c>
      <c r="N26">
        <v>0</v>
      </c>
      <c r="O26">
        <v>0</v>
      </c>
      <c r="P26">
        <v>3550</v>
      </c>
      <c r="Q26" s="5">
        <f>unitlist3[[#This Row],[health]]/unitlist3[[#This Row],[buildtime]]</f>
        <v>6.0169491525423731E-2</v>
      </c>
      <c r="R26" s="5">
        <f>unitlist3[[#This Row],[dps]]/unitlist3[[#This Row],[metalcost]]</f>
        <v>1.6666666666666667</v>
      </c>
      <c r="Z26">
        <v>1</v>
      </c>
      <c r="AA26">
        <v>2000</v>
      </c>
      <c r="AB26">
        <v>2250</v>
      </c>
      <c r="AF26">
        <v>455</v>
      </c>
      <c r="AG26">
        <v>683</v>
      </c>
      <c r="AH26" t="s">
        <v>41</v>
      </c>
      <c r="AI26" t="s">
        <v>104</v>
      </c>
      <c r="AJ26" t="s">
        <v>41</v>
      </c>
      <c r="AK26">
        <v>1</v>
      </c>
      <c r="AL26" t="s">
        <v>1653</v>
      </c>
      <c r="AM26" t="s">
        <v>41</v>
      </c>
    </row>
    <row r="27" spans="1:39" hidden="1">
      <c r="A27" t="s">
        <v>991</v>
      </c>
      <c r="B27" t="s">
        <v>806</v>
      </c>
      <c r="C27">
        <v>1</v>
      </c>
      <c r="D27" t="s">
        <v>992</v>
      </c>
      <c r="E27" t="s">
        <v>993</v>
      </c>
      <c r="F27" t="s">
        <v>41</v>
      </c>
      <c r="G27" t="s">
        <v>994</v>
      </c>
      <c r="H27">
        <v>95</v>
      </c>
      <c r="I27">
        <v>195</v>
      </c>
      <c r="J27">
        <v>1750</v>
      </c>
      <c r="K27">
        <v>5440</v>
      </c>
      <c r="L27">
        <v>0</v>
      </c>
      <c r="M27">
        <v>0</v>
      </c>
      <c r="N27">
        <v>0</v>
      </c>
      <c r="O27">
        <v>0</v>
      </c>
      <c r="P27">
        <v>1670</v>
      </c>
      <c r="Q27" s="5">
        <f>unitlist3[[#This Row],[health]]/unitlist3[[#This Row],[buildtime]]</f>
        <v>0.30698529411764708</v>
      </c>
      <c r="R27" s="5">
        <f>unitlist3[[#This Row],[dps]]/unitlist3[[#This Row],[metalcost]]</f>
        <v>1.6461538461538461</v>
      </c>
      <c r="Z27">
        <v>1</v>
      </c>
      <c r="AA27">
        <v>321</v>
      </c>
      <c r="AB27">
        <v>480</v>
      </c>
      <c r="AF27">
        <v>475</v>
      </c>
      <c r="AG27">
        <v>713</v>
      </c>
      <c r="AH27" t="s">
        <v>41</v>
      </c>
      <c r="AI27" t="s">
        <v>592</v>
      </c>
      <c r="AJ27" t="s">
        <v>41</v>
      </c>
      <c r="AK27">
        <v>1</v>
      </c>
      <c r="AL27" t="s">
        <v>1558</v>
      </c>
      <c r="AM27" t="s">
        <v>41</v>
      </c>
    </row>
    <row r="28" spans="1:39" hidden="1">
      <c r="A28" t="s">
        <v>191</v>
      </c>
      <c r="B28" t="s">
        <v>38</v>
      </c>
      <c r="C28">
        <v>1</v>
      </c>
      <c r="D28" t="s">
        <v>192</v>
      </c>
      <c r="E28" t="s">
        <v>193</v>
      </c>
      <c r="F28" t="s">
        <v>41</v>
      </c>
      <c r="G28" t="s">
        <v>194</v>
      </c>
      <c r="H28">
        <v>86</v>
      </c>
      <c r="I28">
        <v>190</v>
      </c>
      <c r="J28">
        <v>1500</v>
      </c>
      <c r="K28">
        <v>5320</v>
      </c>
      <c r="L28">
        <v>0</v>
      </c>
      <c r="M28">
        <v>0</v>
      </c>
      <c r="N28">
        <v>0</v>
      </c>
      <c r="O28">
        <v>0</v>
      </c>
      <c r="P28">
        <v>1430</v>
      </c>
      <c r="Q28" s="5">
        <f>unitlist3[[#This Row],[health]]/unitlist3[[#This Row],[buildtime]]</f>
        <v>0.26879699248120303</v>
      </c>
      <c r="R28" s="5">
        <f>unitlist3[[#This Row],[dps]]/unitlist3[[#This Row],[metalcost]]</f>
        <v>1.4</v>
      </c>
      <c r="Z28">
        <v>1</v>
      </c>
      <c r="AA28">
        <v>266</v>
      </c>
      <c r="AB28">
        <v>480</v>
      </c>
      <c r="AF28">
        <v>475</v>
      </c>
      <c r="AG28">
        <v>713</v>
      </c>
      <c r="AH28" t="s">
        <v>41</v>
      </c>
      <c r="AI28" t="s">
        <v>128</v>
      </c>
      <c r="AJ28" t="s">
        <v>41</v>
      </c>
      <c r="AK28">
        <v>1</v>
      </c>
      <c r="AL28" t="s">
        <v>1308</v>
      </c>
      <c r="AM28" t="s">
        <v>41</v>
      </c>
    </row>
    <row r="29" spans="1:39">
      <c r="A29" t="s">
        <v>943</v>
      </c>
      <c r="B29" t="s">
        <v>806</v>
      </c>
      <c r="C29">
        <v>1</v>
      </c>
      <c r="D29" t="s">
        <v>944</v>
      </c>
      <c r="E29" t="s">
        <v>329</v>
      </c>
      <c r="F29" t="s">
        <v>41</v>
      </c>
      <c r="G29" t="s">
        <v>330</v>
      </c>
      <c r="H29">
        <v>16</v>
      </c>
      <c r="I29">
        <v>26</v>
      </c>
      <c r="J29">
        <v>270</v>
      </c>
      <c r="K29">
        <v>1150</v>
      </c>
      <c r="L29">
        <v>0</v>
      </c>
      <c r="M29">
        <v>0</v>
      </c>
      <c r="N29">
        <v>0</v>
      </c>
      <c r="O29">
        <v>153</v>
      </c>
      <c r="P29">
        <v>75</v>
      </c>
      <c r="Q29" s="5">
        <f>unitlist3[[#This Row],[health]]/unitlist3[[#This Row],[buildtime]]</f>
        <v>6.5217391304347824E-2</v>
      </c>
      <c r="R29" s="5">
        <f>unitlist3[[#This Row],[dps]]/unitlist3[[#This Row],[metalcost]]</f>
        <v>1.3461538461538463</v>
      </c>
      <c r="AA29">
        <v>35</v>
      </c>
      <c r="AB29">
        <v>180</v>
      </c>
      <c r="AF29">
        <v>600</v>
      </c>
      <c r="AG29">
        <v>900</v>
      </c>
      <c r="AH29" t="s">
        <v>41</v>
      </c>
      <c r="AI29" t="s">
        <v>128</v>
      </c>
      <c r="AJ29" t="s">
        <v>41</v>
      </c>
      <c r="AK29">
        <v>1</v>
      </c>
      <c r="AL29" t="s">
        <v>1534</v>
      </c>
      <c r="AM29" t="s">
        <v>41</v>
      </c>
    </row>
    <row r="30" spans="1:39">
      <c r="A30" t="s">
        <v>327</v>
      </c>
      <c r="B30" t="s">
        <v>38</v>
      </c>
      <c r="C30">
        <v>1</v>
      </c>
      <c r="D30" t="s">
        <v>328</v>
      </c>
      <c r="E30" t="s">
        <v>329</v>
      </c>
      <c r="F30" t="s">
        <v>41</v>
      </c>
      <c r="G30" t="s">
        <v>330</v>
      </c>
      <c r="H30">
        <v>15</v>
      </c>
      <c r="I30">
        <v>31</v>
      </c>
      <c r="J30">
        <v>370</v>
      </c>
      <c r="K30">
        <v>950</v>
      </c>
      <c r="L30">
        <v>0</v>
      </c>
      <c r="M30">
        <v>0</v>
      </c>
      <c r="N30">
        <v>0</v>
      </c>
      <c r="O30">
        <v>168</v>
      </c>
      <c r="P30">
        <v>89</v>
      </c>
      <c r="Q30" s="5">
        <f>unitlist3[[#This Row],[health]]/unitlist3[[#This Row],[buildtime]]</f>
        <v>9.3684210526315786E-2</v>
      </c>
      <c r="R30" s="5">
        <f>unitlist3[[#This Row],[dps]]/unitlist3[[#This Row],[metalcost]]</f>
        <v>1.2258064516129032</v>
      </c>
      <c r="AA30">
        <v>38</v>
      </c>
      <c r="AB30">
        <v>180</v>
      </c>
      <c r="AF30">
        <v>635</v>
      </c>
      <c r="AG30">
        <v>953</v>
      </c>
      <c r="AH30" t="s">
        <v>41</v>
      </c>
      <c r="AI30" t="s">
        <v>128</v>
      </c>
      <c r="AJ30" t="s">
        <v>41</v>
      </c>
      <c r="AK30">
        <v>1</v>
      </c>
      <c r="AL30" t="s">
        <v>1341</v>
      </c>
      <c r="AM30" t="s">
        <v>41</v>
      </c>
    </row>
    <row r="31" spans="1:39">
      <c r="A31" t="s">
        <v>1094</v>
      </c>
      <c r="B31" t="s">
        <v>806</v>
      </c>
      <c r="C31">
        <v>2</v>
      </c>
      <c r="D31" t="s">
        <v>1095</v>
      </c>
      <c r="E31" t="s">
        <v>1096</v>
      </c>
      <c r="F31" t="s">
        <v>41</v>
      </c>
      <c r="G31" t="s">
        <v>1097</v>
      </c>
      <c r="H31">
        <v>31</v>
      </c>
      <c r="I31">
        <v>200</v>
      </c>
      <c r="J31">
        <v>3000</v>
      </c>
      <c r="K31">
        <v>5030</v>
      </c>
      <c r="L31">
        <v>0</v>
      </c>
      <c r="M31">
        <v>0</v>
      </c>
      <c r="N31">
        <v>0</v>
      </c>
      <c r="O31">
        <v>83</v>
      </c>
      <c r="P31">
        <v>1060</v>
      </c>
      <c r="Q31" s="5">
        <f>unitlist3[[#This Row],[health]]/unitlist3[[#This Row],[buildtime]]</f>
        <v>0.21073558648111332</v>
      </c>
      <c r="R31" s="5">
        <f>unitlist3[[#This Row],[dps]]/unitlist3[[#This Row],[metalcost]]</f>
        <v>1.2</v>
      </c>
      <c r="AA31">
        <v>240</v>
      </c>
      <c r="AB31">
        <v>230</v>
      </c>
      <c r="AF31">
        <v>318</v>
      </c>
      <c r="AG31">
        <v>477</v>
      </c>
      <c r="AH31" t="s">
        <v>41</v>
      </c>
      <c r="AI31" t="s">
        <v>962</v>
      </c>
      <c r="AJ31" t="s">
        <v>41</v>
      </c>
      <c r="AK31">
        <v>1</v>
      </c>
      <c r="AL31" t="s">
        <v>1609</v>
      </c>
      <c r="AM31" t="s">
        <v>41</v>
      </c>
    </row>
    <row r="32" spans="1:39" hidden="1">
      <c r="A32" t="s">
        <v>1045</v>
      </c>
      <c r="B32" t="s">
        <v>806</v>
      </c>
      <c r="C32">
        <v>1</v>
      </c>
      <c r="D32" t="s">
        <v>1046</v>
      </c>
      <c r="E32" t="s">
        <v>1047</v>
      </c>
      <c r="F32" t="s">
        <v>41</v>
      </c>
      <c r="G32" t="s">
        <v>238</v>
      </c>
      <c r="H32">
        <v>10</v>
      </c>
      <c r="I32">
        <v>290</v>
      </c>
      <c r="J32">
        <v>1550</v>
      </c>
      <c r="K32">
        <v>4420</v>
      </c>
      <c r="L32">
        <v>0</v>
      </c>
      <c r="M32">
        <v>0</v>
      </c>
      <c r="N32">
        <v>0</v>
      </c>
      <c r="O32">
        <v>0</v>
      </c>
      <c r="P32">
        <v>1610</v>
      </c>
      <c r="Q32" s="5">
        <f>unitlist3[[#This Row],[health]]/unitlist3[[#This Row],[buildtime]]</f>
        <v>0.36425339366515835</v>
      </c>
      <c r="R32" s="5">
        <f>unitlist3[[#This Row],[dps]]/unitlist3[[#This Row],[metalcost]]</f>
        <v>1.103448275862069</v>
      </c>
      <c r="Z32">
        <v>1</v>
      </c>
      <c r="AA32">
        <v>320</v>
      </c>
      <c r="AB32">
        <v>410</v>
      </c>
      <c r="AC32">
        <v>8</v>
      </c>
      <c r="AF32">
        <v>422</v>
      </c>
      <c r="AG32">
        <v>633</v>
      </c>
      <c r="AH32" t="s">
        <v>239</v>
      </c>
      <c r="AI32" t="s">
        <v>962</v>
      </c>
      <c r="AJ32" t="s">
        <v>41</v>
      </c>
      <c r="AK32">
        <v>1</v>
      </c>
      <c r="AL32" t="s">
        <v>1583</v>
      </c>
      <c r="AM32" t="s">
        <v>41</v>
      </c>
    </row>
    <row r="33" spans="1:39" hidden="1">
      <c r="A33" t="s">
        <v>746</v>
      </c>
      <c r="B33" t="s">
        <v>38</v>
      </c>
      <c r="C33">
        <v>1</v>
      </c>
      <c r="D33" t="s">
        <v>597</v>
      </c>
      <c r="E33" t="s">
        <v>747</v>
      </c>
      <c r="F33" t="s">
        <v>41</v>
      </c>
      <c r="G33" t="s">
        <v>291</v>
      </c>
      <c r="H33">
        <v>7</v>
      </c>
      <c r="I33">
        <v>170</v>
      </c>
      <c r="J33">
        <v>1500</v>
      </c>
      <c r="K33">
        <v>3700</v>
      </c>
      <c r="L33">
        <v>0</v>
      </c>
      <c r="M33">
        <v>0</v>
      </c>
      <c r="N33">
        <v>0</v>
      </c>
      <c r="O33">
        <v>0</v>
      </c>
      <c r="P33">
        <v>1300</v>
      </c>
      <c r="Q33" s="5">
        <f>unitlist3[[#This Row],[health]]/unitlist3[[#This Row],[buildtime]]</f>
        <v>0.35135135135135137</v>
      </c>
      <c r="R33" s="5">
        <f>unitlist3[[#This Row],[dps]]/unitlist3[[#This Row],[metalcost]]</f>
        <v>1.1000000000000001</v>
      </c>
      <c r="Z33">
        <v>1</v>
      </c>
      <c r="AA33">
        <v>187</v>
      </c>
      <c r="AB33">
        <v>500</v>
      </c>
      <c r="AD33">
        <v>400</v>
      </c>
      <c r="AF33">
        <v>494</v>
      </c>
      <c r="AG33">
        <v>741</v>
      </c>
      <c r="AH33" t="s">
        <v>41</v>
      </c>
      <c r="AI33" t="s">
        <v>168</v>
      </c>
      <c r="AJ33" t="s">
        <v>41</v>
      </c>
      <c r="AK33">
        <v>1</v>
      </c>
      <c r="AL33" t="s">
        <v>1454</v>
      </c>
      <c r="AM33" t="s">
        <v>41</v>
      </c>
    </row>
    <row r="34" spans="1:39" hidden="1">
      <c r="A34" t="s">
        <v>1184</v>
      </c>
      <c r="B34" t="s">
        <v>806</v>
      </c>
      <c r="C34">
        <v>1</v>
      </c>
      <c r="D34" t="s">
        <v>1091</v>
      </c>
      <c r="E34" t="s">
        <v>747</v>
      </c>
      <c r="F34" t="s">
        <v>41</v>
      </c>
      <c r="G34" t="s">
        <v>291</v>
      </c>
      <c r="H34">
        <v>15</v>
      </c>
      <c r="I34">
        <v>170</v>
      </c>
      <c r="J34">
        <v>1800</v>
      </c>
      <c r="K34">
        <v>3750</v>
      </c>
      <c r="L34">
        <v>0</v>
      </c>
      <c r="M34">
        <v>0</v>
      </c>
      <c r="N34">
        <v>0</v>
      </c>
      <c r="O34">
        <v>0</v>
      </c>
      <c r="P34">
        <v>1440</v>
      </c>
      <c r="Q34" s="5">
        <f>unitlist3[[#This Row],[health]]/unitlist3[[#This Row],[buildtime]]</f>
        <v>0.38400000000000001</v>
      </c>
      <c r="R34" s="5">
        <f>unitlist3[[#This Row],[dps]]/unitlist3[[#This Row],[metalcost]]</f>
        <v>1.1000000000000001</v>
      </c>
      <c r="Z34">
        <v>1</v>
      </c>
      <c r="AA34">
        <v>187</v>
      </c>
      <c r="AB34">
        <v>500</v>
      </c>
      <c r="AD34">
        <v>400</v>
      </c>
      <c r="AF34">
        <v>495</v>
      </c>
      <c r="AG34">
        <v>743</v>
      </c>
      <c r="AH34" t="s">
        <v>41</v>
      </c>
      <c r="AI34" t="s">
        <v>168</v>
      </c>
      <c r="AJ34" t="s">
        <v>41</v>
      </c>
      <c r="AK34">
        <v>1</v>
      </c>
      <c r="AL34" t="s">
        <v>1650</v>
      </c>
      <c r="AM34" t="s">
        <v>41</v>
      </c>
    </row>
    <row r="35" spans="1:39" hidden="1">
      <c r="A35" t="s">
        <v>388</v>
      </c>
      <c r="B35" t="s">
        <v>38</v>
      </c>
      <c r="C35">
        <v>1</v>
      </c>
      <c r="D35" t="s">
        <v>389</v>
      </c>
      <c r="E35" t="s">
        <v>390</v>
      </c>
      <c r="F35" t="s">
        <v>41</v>
      </c>
      <c r="G35" t="s">
        <v>391</v>
      </c>
      <c r="H35">
        <v>60</v>
      </c>
      <c r="I35">
        <v>90</v>
      </c>
      <c r="J35">
        <v>1000</v>
      </c>
      <c r="K35">
        <v>2200</v>
      </c>
      <c r="L35">
        <v>0</v>
      </c>
      <c r="M35">
        <v>0</v>
      </c>
      <c r="N35">
        <v>0</v>
      </c>
      <c r="O35">
        <v>0</v>
      </c>
      <c r="P35">
        <v>380</v>
      </c>
      <c r="Q35" s="5">
        <f>unitlist3[[#This Row],[health]]/unitlist3[[#This Row],[buildtime]]</f>
        <v>0.17272727272727273</v>
      </c>
      <c r="R35" s="5">
        <f>unitlist3[[#This Row],[dps]]/unitlist3[[#This Row],[metalcost]]</f>
        <v>1.0666666666666667</v>
      </c>
      <c r="Z35">
        <v>1</v>
      </c>
      <c r="AA35">
        <v>96</v>
      </c>
      <c r="AB35">
        <v>765</v>
      </c>
      <c r="AF35">
        <v>468</v>
      </c>
      <c r="AG35">
        <v>750</v>
      </c>
      <c r="AH35" t="s">
        <v>41</v>
      </c>
      <c r="AI35" t="s">
        <v>88</v>
      </c>
      <c r="AJ35" t="s">
        <v>41</v>
      </c>
      <c r="AK35">
        <v>1</v>
      </c>
      <c r="AL35" t="s">
        <v>1357</v>
      </c>
      <c r="AM35" t="s">
        <v>41</v>
      </c>
    </row>
    <row r="36" spans="1:39" hidden="1">
      <c r="A36" t="s">
        <v>965</v>
      </c>
      <c r="B36" t="s">
        <v>806</v>
      </c>
      <c r="C36">
        <v>1</v>
      </c>
      <c r="D36" t="s">
        <v>966</v>
      </c>
      <c r="E36" t="s">
        <v>390</v>
      </c>
      <c r="F36" t="s">
        <v>41</v>
      </c>
      <c r="G36" t="s">
        <v>391</v>
      </c>
      <c r="H36">
        <v>50</v>
      </c>
      <c r="I36">
        <v>90</v>
      </c>
      <c r="J36">
        <v>1000</v>
      </c>
      <c r="K36">
        <v>2200</v>
      </c>
      <c r="L36">
        <v>0</v>
      </c>
      <c r="M36">
        <v>0</v>
      </c>
      <c r="N36">
        <v>0</v>
      </c>
      <c r="O36">
        <v>0</v>
      </c>
      <c r="P36">
        <v>395</v>
      </c>
      <c r="Q36" s="5">
        <f>unitlist3[[#This Row],[health]]/unitlist3[[#This Row],[buildtime]]</f>
        <v>0.17954545454545454</v>
      </c>
      <c r="R36" s="5">
        <f>unitlist3[[#This Row],[dps]]/unitlist3[[#This Row],[metalcost]]</f>
        <v>1.0666666666666667</v>
      </c>
      <c r="Z36">
        <v>1</v>
      </c>
      <c r="AA36">
        <v>96</v>
      </c>
      <c r="AB36">
        <v>765</v>
      </c>
      <c r="AF36">
        <v>468</v>
      </c>
      <c r="AG36">
        <v>750</v>
      </c>
      <c r="AH36" t="s">
        <v>41</v>
      </c>
      <c r="AI36" t="s">
        <v>88</v>
      </c>
      <c r="AJ36" t="s">
        <v>41</v>
      </c>
      <c r="AK36">
        <v>1</v>
      </c>
      <c r="AL36" t="s">
        <v>1546</v>
      </c>
      <c r="AM36" t="s">
        <v>41</v>
      </c>
    </row>
    <row r="37" spans="1:39" hidden="1">
      <c r="A37" t="s">
        <v>927</v>
      </c>
      <c r="B37" t="s">
        <v>806</v>
      </c>
      <c r="C37">
        <v>1</v>
      </c>
      <c r="D37" t="s">
        <v>928</v>
      </c>
      <c r="E37" t="s">
        <v>929</v>
      </c>
      <c r="F37" t="s">
        <v>41</v>
      </c>
      <c r="G37" t="s">
        <v>276</v>
      </c>
      <c r="H37">
        <v>11</v>
      </c>
      <c r="I37">
        <v>100</v>
      </c>
      <c r="J37">
        <v>1000</v>
      </c>
      <c r="K37">
        <v>1400</v>
      </c>
      <c r="L37">
        <v>0</v>
      </c>
      <c r="M37">
        <v>0</v>
      </c>
      <c r="N37">
        <v>0</v>
      </c>
      <c r="O37">
        <v>110</v>
      </c>
      <c r="P37">
        <v>480</v>
      </c>
      <c r="Q37" s="5">
        <f>unitlist3[[#This Row],[health]]/unitlist3[[#This Row],[buildtime]]</f>
        <v>0.34285714285714286</v>
      </c>
      <c r="R37" s="5">
        <f>unitlist3[[#This Row],[dps]]/unitlist3[[#This Row],[metalcost]]</f>
        <v>0.91</v>
      </c>
      <c r="W37">
        <v>1</v>
      </c>
      <c r="AA37">
        <v>91</v>
      </c>
      <c r="AB37">
        <v>280</v>
      </c>
      <c r="AF37">
        <v>600</v>
      </c>
      <c r="AG37">
        <v>900</v>
      </c>
      <c r="AH37" t="s">
        <v>41</v>
      </c>
      <c r="AI37" t="s">
        <v>592</v>
      </c>
      <c r="AJ37" t="s">
        <v>41</v>
      </c>
      <c r="AK37">
        <v>1</v>
      </c>
      <c r="AL37" t="s">
        <v>1527</v>
      </c>
      <c r="AM37" t="s">
        <v>41</v>
      </c>
    </row>
    <row r="38" spans="1:39" hidden="1">
      <c r="A38" t="s">
        <v>617</v>
      </c>
      <c r="B38" t="s">
        <v>38</v>
      </c>
      <c r="C38">
        <v>1</v>
      </c>
      <c r="D38" t="s">
        <v>618</v>
      </c>
      <c r="E38" t="s">
        <v>619</v>
      </c>
      <c r="F38" t="s">
        <v>41</v>
      </c>
      <c r="G38" t="s">
        <v>391</v>
      </c>
      <c r="H38">
        <v>64</v>
      </c>
      <c r="I38">
        <v>80</v>
      </c>
      <c r="J38">
        <v>900</v>
      </c>
      <c r="K38">
        <v>1800</v>
      </c>
      <c r="L38">
        <v>0</v>
      </c>
      <c r="M38">
        <v>0</v>
      </c>
      <c r="N38">
        <v>0</v>
      </c>
      <c r="O38">
        <v>0</v>
      </c>
      <c r="P38">
        <v>330</v>
      </c>
      <c r="Q38" s="5">
        <f>unitlist3[[#This Row],[health]]/unitlist3[[#This Row],[buildtime]]</f>
        <v>0.18333333333333332</v>
      </c>
      <c r="R38" s="5">
        <f>unitlist3[[#This Row],[dps]]/unitlist3[[#This Row],[metalcost]]</f>
        <v>0.85</v>
      </c>
      <c r="Z38">
        <v>1</v>
      </c>
      <c r="AA38">
        <v>68</v>
      </c>
      <c r="AB38">
        <v>765</v>
      </c>
      <c r="AF38">
        <v>455</v>
      </c>
      <c r="AG38">
        <v>700</v>
      </c>
      <c r="AH38" t="s">
        <v>41</v>
      </c>
      <c r="AI38" t="s">
        <v>88</v>
      </c>
      <c r="AJ38" t="s">
        <v>41</v>
      </c>
      <c r="AK38">
        <v>1</v>
      </c>
      <c r="AL38" t="s">
        <v>1421</v>
      </c>
      <c r="AM38" t="s">
        <v>41</v>
      </c>
    </row>
    <row r="39" spans="1:39" hidden="1">
      <c r="A39" t="s">
        <v>1105</v>
      </c>
      <c r="B39" t="s">
        <v>806</v>
      </c>
      <c r="C39">
        <v>1</v>
      </c>
      <c r="D39" t="s">
        <v>1106</v>
      </c>
      <c r="E39" t="s">
        <v>619</v>
      </c>
      <c r="F39" t="s">
        <v>41</v>
      </c>
      <c r="G39" t="s">
        <v>391</v>
      </c>
      <c r="H39">
        <v>51</v>
      </c>
      <c r="I39">
        <v>80</v>
      </c>
      <c r="J39">
        <v>850</v>
      </c>
      <c r="K39">
        <v>1750</v>
      </c>
      <c r="L39">
        <v>0</v>
      </c>
      <c r="M39">
        <v>0</v>
      </c>
      <c r="N39">
        <v>0</v>
      </c>
      <c r="O39">
        <v>0</v>
      </c>
      <c r="P39">
        <v>335</v>
      </c>
      <c r="Q39" s="5">
        <f>unitlist3[[#This Row],[health]]/unitlist3[[#This Row],[buildtime]]</f>
        <v>0.19142857142857142</v>
      </c>
      <c r="R39" s="5">
        <f>unitlist3[[#This Row],[dps]]/unitlist3[[#This Row],[metalcost]]</f>
        <v>0.85</v>
      </c>
      <c r="Z39">
        <v>1</v>
      </c>
      <c r="AA39">
        <v>68</v>
      </c>
      <c r="AB39">
        <v>765</v>
      </c>
      <c r="AF39">
        <v>455</v>
      </c>
      <c r="AG39">
        <v>700</v>
      </c>
      <c r="AH39" t="s">
        <v>41</v>
      </c>
      <c r="AI39" t="s">
        <v>88</v>
      </c>
      <c r="AJ39" t="s">
        <v>41</v>
      </c>
      <c r="AK39">
        <v>1</v>
      </c>
      <c r="AL39" t="s">
        <v>1614</v>
      </c>
      <c r="AM39" t="s">
        <v>41</v>
      </c>
    </row>
    <row r="40" spans="1:39" hidden="1">
      <c r="A40" t="s">
        <v>223</v>
      </c>
      <c r="B40" t="s">
        <v>38</v>
      </c>
      <c r="C40">
        <v>1</v>
      </c>
      <c r="D40" t="s">
        <v>224</v>
      </c>
      <c r="E40" t="s">
        <v>225</v>
      </c>
      <c r="F40" t="s">
        <v>41</v>
      </c>
      <c r="G40" t="s">
        <v>226</v>
      </c>
      <c r="H40">
        <v>65</v>
      </c>
      <c r="I40">
        <v>750</v>
      </c>
      <c r="J40">
        <v>7300</v>
      </c>
      <c r="K40">
        <v>12000</v>
      </c>
      <c r="L40">
        <v>0</v>
      </c>
      <c r="M40">
        <v>0</v>
      </c>
      <c r="N40">
        <v>0</v>
      </c>
      <c r="O40">
        <v>0</v>
      </c>
      <c r="P40">
        <v>4450</v>
      </c>
      <c r="Q40" s="5">
        <f>unitlist3[[#This Row],[health]]/unitlist3[[#This Row],[buildtime]]</f>
        <v>0.37083333333333335</v>
      </c>
      <c r="R40" s="5">
        <f>unitlist3[[#This Row],[dps]]/unitlist3[[#This Row],[metalcost]]</f>
        <v>0.83333333333333337</v>
      </c>
      <c r="Z40">
        <v>1</v>
      </c>
      <c r="AA40">
        <v>625</v>
      </c>
      <c r="AB40">
        <v>1125</v>
      </c>
      <c r="AF40">
        <v>380</v>
      </c>
      <c r="AG40">
        <v>1060</v>
      </c>
      <c r="AH40" t="s">
        <v>41</v>
      </c>
      <c r="AI40" t="s">
        <v>88</v>
      </c>
      <c r="AJ40" t="s">
        <v>41</v>
      </c>
      <c r="AK40">
        <v>1</v>
      </c>
      <c r="AL40" t="s">
        <v>1317</v>
      </c>
      <c r="AM40" t="s">
        <v>41</v>
      </c>
    </row>
    <row r="41" spans="1:39">
      <c r="A41" t="s">
        <v>980</v>
      </c>
      <c r="B41" t="s">
        <v>806</v>
      </c>
      <c r="C41">
        <v>1</v>
      </c>
      <c r="D41" t="s">
        <v>981</v>
      </c>
      <c r="E41" t="s">
        <v>982</v>
      </c>
      <c r="F41" t="s">
        <v>41</v>
      </c>
      <c r="G41" t="s">
        <v>368</v>
      </c>
      <c r="H41">
        <v>16</v>
      </c>
      <c r="I41">
        <v>118</v>
      </c>
      <c r="J41">
        <v>1042</v>
      </c>
      <c r="K41">
        <v>1761</v>
      </c>
      <c r="L41">
        <v>0</v>
      </c>
      <c r="M41">
        <v>0</v>
      </c>
      <c r="N41">
        <v>0</v>
      </c>
      <c r="O41">
        <v>86</v>
      </c>
      <c r="P41">
        <v>820</v>
      </c>
      <c r="Q41" s="5">
        <f>unitlist3[[#This Row],[health]]/unitlist3[[#This Row],[buildtime]]</f>
        <v>0.46564452015900054</v>
      </c>
      <c r="R41" s="5">
        <f>unitlist3[[#This Row],[dps]]/unitlist3[[#This Row],[metalcost]]</f>
        <v>0.83050847457627119</v>
      </c>
      <c r="AA41">
        <v>98</v>
      </c>
      <c r="AB41">
        <v>230</v>
      </c>
      <c r="AF41">
        <v>273</v>
      </c>
      <c r="AG41">
        <v>410</v>
      </c>
      <c r="AH41" t="s">
        <v>41</v>
      </c>
      <c r="AI41" t="s">
        <v>128</v>
      </c>
      <c r="AJ41" t="s">
        <v>41</v>
      </c>
      <c r="AK41">
        <v>1</v>
      </c>
      <c r="AL41" t="s">
        <v>1554</v>
      </c>
      <c r="AM41" t="s">
        <v>41</v>
      </c>
    </row>
    <row r="42" spans="1:39" hidden="1">
      <c r="A42" t="s">
        <v>583</v>
      </c>
      <c r="B42" t="s">
        <v>38</v>
      </c>
      <c r="C42">
        <v>2</v>
      </c>
      <c r="D42" t="s">
        <v>584</v>
      </c>
      <c r="E42" t="s">
        <v>585</v>
      </c>
      <c r="F42" t="s">
        <v>41</v>
      </c>
      <c r="G42" t="s">
        <v>586</v>
      </c>
      <c r="H42">
        <v>13</v>
      </c>
      <c r="I42">
        <v>230</v>
      </c>
      <c r="J42">
        <v>12500</v>
      </c>
      <c r="K42">
        <v>21000</v>
      </c>
      <c r="L42">
        <v>0</v>
      </c>
      <c r="M42">
        <v>0</v>
      </c>
      <c r="N42">
        <v>0</v>
      </c>
      <c r="O42">
        <v>258</v>
      </c>
      <c r="P42">
        <v>1130</v>
      </c>
      <c r="Q42" s="5">
        <f>unitlist3[[#This Row],[health]]/unitlist3[[#This Row],[buildtime]]</f>
        <v>5.3809523809523807E-2</v>
      </c>
      <c r="R42" s="5">
        <f>unitlist3[[#This Row],[dps]]/unitlist3[[#This Row],[metalcost]]</f>
        <v>0.82608695652173914</v>
      </c>
      <c r="U42">
        <v>1</v>
      </c>
      <c r="AA42">
        <v>190</v>
      </c>
      <c r="AB42">
        <v>1280</v>
      </c>
      <c r="AF42">
        <v>260</v>
      </c>
      <c r="AG42">
        <v>390</v>
      </c>
      <c r="AH42" t="s">
        <v>41</v>
      </c>
      <c r="AI42" t="s">
        <v>587</v>
      </c>
      <c r="AJ42" t="s">
        <v>41</v>
      </c>
      <c r="AK42">
        <v>1</v>
      </c>
      <c r="AL42" t="s">
        <v>1413</v>
      </c>
      <c r="AM42" t="s">
        <v>41</v>
      </c>
    </row>
    <row r="43" spans="1:39">
      <c r="A43" t="s">
        <v>365</v>
      </c>
      <c r="B43" t="s">
        <v>38</v>
      </c>
      <c r="C43">
        <v>1</v>
      </c>
      <c r="D43" t="s">
        <v>366</v>
      </c>
      <c r="E43" t="s">
        <v>367</v>
      </c>
      <c r="F43" t="s">
        <v>41</v>
      </c>
      <c r="G43" t="s">
        <v>368</v>
      </c>
      <c r="H43">
        <v>16</v>
      </c>
      <c r="I43">
        <v>109</v>
      </c>
      <c r="J43">
        <v>911</v>
      </c>
      <c r="K43">
        <v>1960</v>
      </c>
      <c r="L43">
        <v>0</v>
      </c>
      <c r="M43">
        <v>0</v>
      </c>
      <c r="N43">
        <v>0</v>
      </c>
      <c r="O43">
        <v>99</v>
      </c>
      <c r="P43">
        <v>690</v>
      </c>
      <c r="Q43" s="5">
        <f>unitlist3[[#This Row],[health]]/unitlist3[[#This Row],[buildtime]]</f>
        <v>0.35204081632653061</v>
      </c>
      <c r="R43" s="5">
        <f>unitlist3[[#This Row],[dps]]/unitlist3[[#This Row],[metalcost]]</f>
        <v>0.82568807339449546</v>
      </c>
      <c r="AA43">
        <v>90</v>
      </c>
      <c r="AB43">
        <v>180</v>
      </c>
      <c r="AF43">
        <v>299</v>
      </c>
      <c r="AG43">
        <v>449</v>
      </c>
      <c r="AH43" t="s">
        <v>41</v>
      </c>
      <c r="AI43" t="s">
        <v>124</v>
      </c>
      <c r="AJ43" t="s">
        <v>41</v>
      </c>
      <c r="AK43">
        <v>1</v>
      </c>
      <c r="AL43" t="s">
        <v>1351</v>
      </c>
      <c r="AM43" t="s">
        <v>41</v>
      </c>
    </row>
    <row r="44" spans="1:39" hidden="1">
      <c r="A44" t="s">
        <v>593</v>
      </c>
      <c r="B44" t="s">
        <v>38</v>
      </c>
      <c r="C44">
        <v>1</v>
      </c>
      <c r="D44" t="s">
        <v>594</v>
      </c>
      <c r="E44" t="s">
        <v>595</v>
      </c>
      <c r="F44" t="s">
        <v>41</v>
      </c>
      <c r="G44" t="s">
        <v>20</v>
      </c>
      <c r="H44">
        <v>10</v>
      </c>
      <c r="I44">
        <v>150</v>
      </c>
      <c r="J44">
        <v>1000</v>
      </c>
      <c r="K44">
        <v>2700</v>
      </c>
      <c r="L44">
        <v>0</v>
      </c>
      <c r="M44">
        <v>0</v>
      </c>
      <c r="N44">
        <v>0</v>
      </c>
      <c r="O44">
        <v>93</v>
      </c>
      <c r="P44">
        <v>780</v>
      </c>
      <c r="Q44" s="5">
        <f>unitlist3[[#This Row],[health]]/unitlist3[[#This Row],[buildtime]]</f>
        <v>0.28888888888888886</v>
      </c>
      <c r="R44" s="5">
        <f>unitlist3[[#This Row],[dps]]/unitlist3[[#This Row],[metalcost]]</f>
        <v>0.82</v>
      </c>
      <c r="W44">
        <v>1</v>
      </c>
      <c r="AA44">
        <v>123</v>
      </c>
      <c r="AB44">
        <v>760</v>
      </c>
      <c r="AD44">
        <v>400</v>
      </c>
      <c r="AE44">
        <v>1000</v>
      </c>
      <c r="AF44">
        <v>750</v>
      </c>
      <c r="AG44">
        <v>800</v>
      </c>
      <c r="AH44" t="s">
        <v>596</v>
      </c>
      <c r="AI44" t="s">
        <v>114</v>
      </c>
      <c r="AJ44" t="s">
        <v>41</v>
      </c>
      <c r="AK44">
        <v>1</v>
      </c>
      <c r="AL44" t="s">
        <v>1415</v>
      </c>
      <c r="AM44" t="s">
        <v>41</v>
      </c>
    </row>
    <row r="45" spans="1:39">
      <c r="A45" t="s">
        <v>1132</v>
      </c>
      <c r="B45" t="s">
        <v>806</v>
      </c>
      <c r="C45">
        <v>1</v>
      </c>
      <c r="D45" t="s">
        <v>1133</v>
      </c>
      <c r="E45" t="s">
        <v>671</v>
      </c>
      <c r="F45" t="s">
        <v>41</v>
      </c>
      <c r="G45" t="s">
        <v>672</v>
      </c>
      <c r="H45">
        <v>12</v>
      </c>
      <c r="I45">
        <v>75</v>
      </c>
      <c r="J45">
        <v>1500</v>
      </c>
      <c r="K45">
        <v>1500</v>
      </c>
      <c r="L45">
        <v>0</v>
      </c>
      <c r="M45">
        <v>0</v>
      </c>
      <c r="N45">
        <v>0</v>
      </c>
      <c r="O45">
        <v>110</v>
      </c>
      <c r="P45">
        <v>255</v>
      </c>
      <c r="Q45" s="5">
        <f>unitlist3[[#This Row],[health]]/unitlist3[[#This Row],[buildtime]]</f>
        <v>0.17</v>
      </c>
      <c r="R45" s="5">
        <f>unitlist3[[#This Row],[dps]]/unitlist3[[#This Row],[metalcost]]</f>
        <v>0.8</v>
      </c>
      <c r="V45">
        <v>1</v>
      </c>
      <c r="AA45">
        <v>60</v>
      </c>
      <c r="AB45">
        <v>230</v>
      </c>
      <c r="AF45">
        <v>550</v>
      </c>
      <c r="AG45">
        <v>825</v>
      </c>
      <c r="AH45" t="s">
        <v>41</v>
      </c>
      <c r="AI45" t="s">
        <v>128</v>
      </c>
      <c r="AJ45" t="s">
        <v>41</v>
      </c>
      <c r="AK45">
        <v>1</v>
      </c>
      <c r="AL45" t="s">
        <v>1626</v>
      </c>
      <c r="AM45" t="s">
        <v>41</v>
      </c>
    </row>
    <row r="46" spans="1:39" hidden="1">
      <c r="A46" t="s">
        <v>924</v>
      </c>
      <c r="B46" t="s">
        <v>806</v>
      </c>
      <c r="C46">
        <v>1</v>
      </c>
      <c r="D46" t="s">
        <v>925</v>
      </c>
      <c r="E46" t="s">
        <v>225</v>
      </c>
      <c r="F46" t="s">
        <v>41</v>
      </c>
      <c r="G46" t="s">
        <v>226</v>
      </c>
      <c r="H46">
        <v>40</v>
      </c>
      <c r="I46">
        <v>800</v>
      </c>
      <c r="J46">
        <v>7900</v>
      </c>
      <c r="K46">
        <v>12000</v>
      </c>
      <c r="L46">
        <v>0</v>
      </c>
      <c r="M46">
        <v>0</v>
      </c>
      <c r="N46">
        <v>0</v>
      </c>
      <c r="O46">
        <v>0</v>
      </c>
      <c r="P46">
        <v>4450</v>
      </c>
      <c r="Q46" s="5">
        <f>unitlist3[[#This Row],[health]]/unitlist3[[#This Row],[buildtime]]</f>
        <v>0.37083333333333335</v>
      </c>
      <c r="R46" s="5">
        <f>unitlist3[[#This Row],[dps]]/unitlist3[[#This Row],[metalcost]]</f>
        <v>0.78125</v>
      </c>
      <c r="Z46">
        <v>1</v>
      </c>
      <c r="AA46">
        <v>625</v>
      </c>
      <c r="AB46">
        <v>1125</v>
      </c>
      <c r="AF46">
        <v>380</v>
      </c>
      <c r="AG46">
        <v>1060</v>
      </c>
      <c r="AH46" t="s">
        <v>41</v>
      </c>
      <c r="AI46" t="s">
        <v>88</v>
      </c>
      <c r="AJ46" t="s">
        <v>41</v>
      </c>
      <c r="AK46">
        <v>1</v>
      </c>
      <c r="AL46" t="s">
        <v>1525</v>
      </c>
      <c r="AM46" t="s">
        <v>41</v>
      </c>
    </row>
    <row r="47" spans="1:39" hidden="1">
      <c r="A47" t="s">
        <v>273</v>
      </c>
      <c r="B47" t="s">
        <v>38</v>
      </c>
      <c r="C47">
        <v>1</v>
      </c>
      <c r="D47" t="s">
        <v>274</v>
      </c>
      <c r="E47" t="s">
        <v>275</v>
      </c>
      <c r="F47" t="s">
        <v>41</v>
      </c>
      <c r="G47" t="s">
        <v>276</v>
      </c>
      <c r="H47">
        <v>14</v>
      </c>
      <c r="I47">
        <v>175</v>
      </c>
      <c r="J47">
        <v>1500</v>
      </c>
      <c r="K47">
        <v>2450</v>
      </c>
      <c r="L47">
        <v>0</v>
      </c>
      <c r="M47">
        <v>0</v>
      </c>
      <c r="N47">
        <v>0</v>
      </c>
      <c r="O47">
        <v>105</v>
      </c>
      <c r="P47">
        <v>970</v>
      </c>
      <c r="Q47" s="5">
        <f>unitlist3[[#This Row],[health]]/unitlist3[[#This Row],[buildtime]]</f>
        <v>0.39591836734693875</v>
      </c>
      <c r="R47" s="5">
        <f>unitlist3[[#This Row],[dps]]/unitlist3[[#This Row],[metalcost]]</f>
        <v>0.77142857142857146</v>
      </c>
      <c r="W47">
        <v>1</v>
      </c>
      <c r="AA47">
        <v>135</v>
      </c>
      <c r="AB47">
        <v>280</v>
      </c>
      <c r="AF47">
        <v>375</v>
      </c>
      <c r="AG47">
        <v>563</v>
      </c>
      <c r="AH47" t="s">
        <v>41</v>
      </c>
      <c r="AI47" t="s">
        <v>99</v>
      </c>
      <c r="AJ47" t="s">
        <v>41</v>
      </c>
      <c r="AK47">
        <v>1</v>
      </c>
      <c r="AL47" t="s">
        <v>1327</v>
      </c>
      <c r="AM47" t="s">
        <v>41</v>
      </c>
    </row>
    <row r="48" spans="1:39" hidden="1">
      <c r="A48" t="s">
        <v>1003</v>
      </c>
      <c r="B48" t="s">
        <v>806</v>
      </c>
      <c r="C48">
        <v>2</v>
      </c>
      <c r="D48" t="s">
        <v>1004</v>
      </c>
      <c r="E48" t="s">
        <v>1005</v>
      </c>
      <c r="F48" t="s">
        <v>41</v>
      </c>
      <c r="G48" t="s">
        <v>586</v>
      </c>
      <c r="H48">
        <v>17</v>
      </c>
      <c r="I48">
        <v>310</v>
      </c>
      <c r="J48">
        <v>18500</v>
      </c>
      <c r="K48">
        <v>31000</v>
      </c>
      <c r="L48">
        <v>0</v>
      </c>
      <c r="M48">
        <v>0</v>
      </c>
      <c r="N48">
        <v>0</v>
      </c>
      <c r="O48">
        <v>248</v>
      </c>
      <c r="P48">
        <v>1520</v>
      </c>
      <c r="Q48" s="5">
        <f>unitlist3[[#This Row],[health]]/unitlist3[[#This Row],[buildtime]]</f>
        <v>4.9032258064516131E-2</v>
      </c>
      <c r="R48" s="5">
        <f>unitlist3[[#This Row],[dps]]/unitlist3[[#This Row],[metalcost]]</f>
        <v>0.76774193548387093</v>
      </c>
      <c r="U48">
        <v>1</v>
      </c>
      <c r="AA48">
        <v>238</v>
      </c>
      <c r="AB48">
        <v>1280</v>
      </c>
      <c r="AF48">
        <v>221</v>
      </c>
      <c r="AG48">
        <v>332</v>
      </c>
      <c r="AH48" t="s">
        <v>41</v>
      </c>
      <c r="AI48" t="s">
        <v>587</v>
      </c>
      <c r="AJ48" t="s">
        <v>41</v>
      </c>
      <c r="AK48">
        <v>1</v>
      </c>
      <c r="AL48" t="s">
        <v>1563</v>
      </c>
      <c r="AM48" t="s">
        <v>41</v>
      </c>
    </row>
    <row r="49" spans="1:39" hidden="1">
      <c r="A49" t="s">
        <v>1117</v>
      </c>
      <c r="B49" t="s">
        <v>806</v>
      </c>
      <c r="C49">
        <v>1</v>
      </c>
      <c r="D49" t="s">
        <v>1118</v>
      </c>
      <c r="E49" t="s">
        <v>638</v>
      </c>
      <c r="F49" t="s">
        <v>41</v>
      </c>
      <c r="G49" t="s">
        <v>639</v>
      </c>
      <c r="H49">
        <v>14</v>
      </c>
      <c r="I49">
        <v>200</v>
      </c>
      <c r="J49">
        <v>8200</v>
      </c>
      <c r="K49">
        <v>7000</v>
      </c>
      <c r="L49">
        <v>0</v>
      </c>
      <c r="M49">
        <v>0</v>
      </c>
      <c r="N49">
        <v>0</v>
      </c>
      <c r="O49">
        <v>240</v>
      </c>
      <c r="P49">
        <v>940</v>
      </c>
      <c r="Q49" s="5">
        <f>unitlist3[[#This Row],[health]]/unitlist3[[#This Row],[buildtime]]</f>
        <v>0.13428571428571429</v>
      </c>
      <c r="R49" s="5">
        <f>unitlist3[[#This Row],[dps]]/unitlist3[[#This Row],[metalcost]]</f>
        <v>0.75</v>
      </c>
      <c r="S49">
        <v>1</v>
      </c>
      <c r="U49">
        <v>1</v>
      </c>
      <c r="AA49">
        <v>150</v>
      </c>
      <c r="AB49">
        <v>1280</v>
      </c>
      <c r="AF49">
        <v>455</v>
      </c>
      <c r="AG49">
        <v>683</v>
      </c>
      <c r="AH49" t="s">
        <v>41</v>
      </c>
      <c r="AI49" t="s">
        <v>587</v>
      </c>
      <c r="AJ49" t="s">
        <v>41</v>
      </c>
      <c r="AK49">
        <v>1</v>
      </c>
      <c r="AL49" t="s">
        <v>1618</v>
      </c>
      <c r="AM49" t="s">
        <v>41</v>
      </c>
    </row>
    <row r="50" spans="1:39">
      <c r="A50" t="s">
        <v>669</v>
      </c>
      <c r="B50" t="s">
        <v>38</v>
      </c>
      <c r="C50">
        <v>1</v>
      </c>
      <c r="D50" t="s">
        <v>670</v>
      </c>
      <c r="E50" t="s">
        <v>671</v>
      </c>
      <c r="F50" t="s">
        <v>41</v>
      </c>
      <c r="G50" t="s">
        <v>672</v>
      </c>
      <c r="H50">
        <v>18</v>
      </c>
      <c r="I50">
        <v>85</v>
      </c>
      <c r="J50">
        <v>1250</v>
      </c>
      <c r="K50">
        <v>1700</v>
      </c>
      <c r="L50">
        <v>0</v>
      </c>
      <c r="M50">
        <v>0</v>
      </c>
      <c r="N50">
        <v>0</v>
      </c>
      <c r="O50">
        <v>114</v>
      </c>
      <c r="P50">
        <v>290</v>
      </c>
      <c r="Q50" s="5">
        <f>unitlist3[[#This Row],[health]]/unitlist3[[#This Row],[buildtime]]</f>
        <v>0.17058823529411765</v>
      </c>
      <c r="R50" s="5">
        <f>unitlist3[[#This Row],[dps]]/unitlist3[[#This Row],[metalcost]]</f>
        <v>0.70588235294117652</v>
      </c>
      <c r="V50">
        <v>1</v>
      </c>
      <c r="AA50">
        <v>60</v>
      </c>
      <c r="AB50">
        <v>230</v>
      </c>
      <c r="AF50">
        <v>550</v>
      </c>
      <c r="AG50">
        <v>825</v>
      </c>
      <c r="AH50" t="s">
        <v>41</v>
      </c>
      <c r="AI50" t="s">
        <v>128</v>
      </c>
      <c r="AJ50" t="s">
        <v>41</v>
      </c>
      <c r="AK50">
        <v>1</v>
      </c>
      <c r="AL50" t="s">
        <v>1435</v>
      </c>
      <c r="AM50" t="s">
        <v>41</v>
      </c>
    </row>
    <row r="51" spans="1:39" hidden="1">
      <c r="A51" t="s">
        <v>967</v>
      </c>
      <c r="B51" t="s">
        <v>806</v>
      </c>
      <c r="C51">
        <v>2</v>
      </c>
      <c r="D51" t="s">
        <v>1547</v>
      </c>
      <c r="E51" t="s">
        <v>968</v>
      </c>
      <c r="F51" t="s">
        <v>41</v>
      </c>
      <c r="G51" t="s">
        <v>969</v>
      </c>
      <c r="H51">
        <v>15</v>
      </c>
      <c r="I51">
        <v>630</v>
      </c>
      <c r="J51">
        <v>9400</v>
      </c>
      <c r="K51">
        <v>9400</v>
      </c>
      <c r="L51">
        <v>0</v>
      </c>
      <c r="M51">
        <v>0</v>
      </c>
      <c r="N51">
        <v>0</v>
      </c>
      <c r="O51">
        <v>93</v>
      </c>
      <c r="P51">
        <v>2700</v>
      </c>
      <c r="Q51" s="5">
        <f>unitlist3[[#This Row],[health]]/unitlist3[[#This Row],[buildtime]]</f>
        <v>0.28723404255319152</v>
      </c>
      <c r="R51" s="5">
        <f>unitlist3[[#This Row],[dps]]/unitlist3[[#This Row],[metalcost]]</f>
        <v>0.70476190476190481</v>
      </c>
      <c r="W51">
        <v>1</v>
      </c>
      <c r="AA51">
        <v>444</v>
      </c>
      <c r="AB51">
        <v>710</v>
      </c>
      <c r="AE51">
        <v>750</v>
      </c>
      <c r="AF51">
        <v>500</v>
      </c>
      <c r="AG51">
        <v>750</v>
      </c>
      <c r="AH51" t="s">
        <v>41</v>
      </c>
      <c r="AI51" t="s">
        <v>915</v>
      </c>
      <c r="AJ51" t="s">
        <v>41</v>
      </c>
      <c r="AK51">
        <v>1</v>
      </c>
      <c r="AL51" t="s">
        <v>1548</v>
      </c>
      <c r="AM51" t="s">
        <v>41</v>
      </c>
    </row>
    <row r="52" spans="1:39">
      <c r="A52" t="s">
        <v>789</v>
      </c>
      <c r="B52" t="s">
        <v>38</v>
      </c>
      <c r="C52">
        <v>1</v>
      </c>
      <c r="D52" t="s">
        <v>790</v>
      </c>
      <c r="E52" t="s">
        <v>791</v>
      </c>
      <c r="F52" t="s">
        <v>41</v>
      </c>
      <c r="G52" t="s">
        <v>792</v>
      </c>
      <c r="H52">
        <v>34</v>
      </c>
      <c r="I52">
        <v>270</v>
      </c>
      <c r="J52">
        <v>3100</v>
      </c>
      <c r="K52">
        <v>4200</v>
      </c>
      <c r="L52">
        <v>0</v>
      </c>
      <c r="M52">
        <v>0</v>
      </c>
      <c r="N52">
        <v>0</v>
      </c>
      <c r="O52">
        <v>45</v>
      </c>
      <c r="P52">
        <v>1590</v>
      </c>
      <c r="Q52" s="5">
        <f>unitlist3[[#This Row],[health]]/unitlist3[[#This Row],[buildtime]]</f>
        <v>0.37857142857142856</v>
      </c>
      <c r="R52" s="5">
        <f>unitlist3[[#This Row],[dps]]/unitlist3[[#This Row],[metalcost]]</f>
        <v>0.67777777777777781</v>
      </c>
      <c r="AA52">
        <v>183</v>
      </c>
      <c r="AB52">
        <v>330</v>
      </c>
      <c r="AF52">
        <v>350</v>
      </c>
      <c r="AG52">
        <v>525</v>
      </c>
      <c r="AH52" t="s">
        <v>41</v>
      </c>
      <c r="AI52" t="s">
        <v>128</v>
      </c>
      <c r="AJ52" t="s">
        <v>41</v>
      </c>
      <c r="AK52">
        <v>1</v>
      </c>
      <c r="AL52" t="s">
        <v>1469</v>
      </c>
      <c r="AM52" t="s">
        <v>41</v>
      </c>
    </row>
    <row r="53" spans="1:39" hidden="1">
      <c r="A53" t="s">
        <v>932</v>
      </c>
      <c r="B53" t="s">
        <v>806</v>
      </c>
      <c r="C53">
        <v>1</v>
      </c>
      <c r="D53" t="s">
        <v>933</v>
      </c>
      <c r="E53" t="s">
        <v>934</v>
      </c>
      <c r="F53" t="s">
        <v>41</v>
      </c>
      <c r="G53" t="s">
        <v>935</v>
      </c>
      <c r="H53">
        <v>46</v>
      </c>
      <c r="I53">
        <v>240</v>
      </c>
      <c r="J53">
        <v>1900</v>
      </c>
      <c r="K53">
        <v>2720</v>
      </c>
      <c r="L53">
        <v>0</v>
      </c>
      <c r="M53">
        <v>0</v>
      </c>
      <c r="N53">
        <v>0</v>
      </c>
      <c r="O53">
        <v>0</v>
      </c>
      <c r="P53">
        <v>1440</v>
      </c>
      <c r="Q53" s="5">
        <f>unitlist3[[#This Row],[health]]/unitlist3[[#This Row],[buildtime]]</f>
        <v>0.52941176470588236</v>
      </c>
      <c r="R53" s="5">
        <f>unitlist3[[#This Row],[dps]]/unitlist3[[#This Row],[metalcost]]</f>
        <v>0.67083333333333328</v>
      </c>
      <c r="Z53">
        <v>1</v>
      </c>
      <c r="AA53">
        <v>161</v>
      </c>
      <c r="AB53">
        <v>435</v>
      </c>
      <c r="AF53">
        <v>455</v>
      </c>
      <c r="AG53">
        <v>683</v>
      </c>
      <c r="AH53" t="s">
        <v>41</v>
      </c>
      <c r="AI53" t="s">
        <v>128</v>
      </c>
      <c r="AJ53" t="s">
        <v>41</v>
      </c>
      <c r="AK53">
        <v>1</v>
      </c>
      <c r="AL53" t="s">
        <v>1529</v>
      </c>
      <c r="AM53" t="s">
        <v>41</v>
      </c>
    </row>
    <row r="54" spans="1:39">
      <c r="A54" t="s">
        <v>319</v>
      </c>
      <c r="B54" t="s">
        <v>38</v>
      </c>
      <c r="C54">
        <v>2</v>
      </c>
      <c r="D54" t="s">
        <v>320</v>
      </c>
      <c r="E54" t="s">
        <v>321</v>
      </c>
      <c r="F54" t="s">
        <v>41</v>
      </c>
      <c r="G54" t="s">
        <v>322</v>
      </c>
      <c r="H54">
        <v>37</v>
      </c>
      <c r="I54">
        <v>190</v>
      </c>
      <c r="J54">
        <v>4600</v>
      </c>
      <c r="K54">
        <v>3960</v>
      </c>
      <c r="L54">
        <v>0</v>
      </c>
      <c r="M54">
        <v>0</v>
      </c>
      <c r="N54">
        <v>0</v>
      </c>
      <c r="O54">
        <v>111</v>
      </c>
      <c r="P54">
        <v>690</v>
      </c>
      <c r="Q54" s="5">
        <f>unitlist3[[#This Row],[health]]/unitlist3[[#This Row],[buildtime]]</f>
        <v>0.17424242424242425</v>
      </c>
      <c r="R54" s="5">
        <f>unitlist3[[#This Row],[dps]]/unitlist3[[#This Row],[metalcost]]</f>
        <v>0.63157894736842102</v>
      </c>
      <c r="AA54">
        <v>120</v>
      </c>
      <c r="AB54">
        <v>220</v>
      </c>
      <c r="AF54">
        <v>351</v>
      </c>
      <c r="AG54">
        <v>527</v>
      </c>
      <c r="AH54" t="s">
        <v>41</v>
      </c>
      <c r="AI54" t="s">
        <v>124</v>
      </c>
      <c r="AJ54" t="s">
        <v>41</v>
      </c>
      <c r="AK54">
        <v>1</v>
      </c>
      <c r="AL54" t="s">
        <v>1339</v>
      </c>
      <c r="AM54" t="s">
        <v>41</v>
      </c>
    </row>
    <row r="55" spans="1:39" hidden="1">
      <c r="A55" t="s">
        <v>288</v>
      </c>
      <c r="B55" t="s">
        <v>38</v>
      </c>
      <c r="C55">
        <v>1</v>
      </c>
      <c r="D55" t="s">
        <v>289</v>
      </c>
      <c r="E55" t="s">
        <v>290</v>
      </c>
      <c r="F55" t="s">
        <v>41</v>
      </c>
      <c r="G55" t="s">
        <v>291</v>
      </c>
      <c r="H55">
        <v>60</v>
      </c>
      <c r="I55">
        <v>240</v>
      </c>
      <c r="J55">
        <v>2200</v>
      </c>
      <c r="K55">
        <v>6600</v>
      </c>
      <c r="L55">
        <v>0</v>
      </c>
      <c r="M55">
        <v>0</v>
      </c>
      <c r="N55">
        <v>0</v>
      </c>
      <c r="O55">
        <v>0</v>
      </c>
      <c r="P55">
        <v>2200</v>
      </c>
      <c r="Q55" s="5">
        <f>unitlist3[[#This Row],[health]]/unitlist3[[#This Row],[buildtime]]</f>
        <v>0.33333333333333331</v>
      </c>
      <c r="R55" s="5">
        <f>unitlist3[[#This Row],[dps]]/unitlist3[[#This Row],[metalcost]]</f>
        <v>0.625</v>
      </c>
      <c r="Z55">
        <v>1</v>
      </c>
      <c r="AA55">
        <v>150</v>
      </c>
      <c r="AB55">
        <v>600</v>
      </c>
      <c r="AD55">
        <v>600</v>
      </c>
      <c r="AF55">
        <v>617</v>
      </c>
      <c r="AG55">
        <v>926</v>
      </c>
      <c r="AH55" t="s">
        <v>41</v>
      </c>
      <c r="AI55" t="s">
        <v>168</v>
      </c>
      <c r="AJ55" t="s">
        <v>41</v>
      </c>
      <c r="AK55">
        <v>1</v>
      </c>
      <c r="AL55" t="s">
        <v>1331</v>
      </c>
      <c r="AM55" t="s">
        <v>41</v>
      </c>
    </row>
    <row r="56" spans="1:39">
      <c r="A56" t="s">
        <v>469</v>
      </c>
      <c r="B56" t="s">
        <v>38</v>
      </c>
      <c r="C56">
        <v>2</v>
      </c>
      <c r="D56" t="s">
        <v>470</v>
      </c>
      <c r="E56" t="s">
        <v>471</v>
      </c>
      <c r="F56" t="s">
        <v>41</v>
      </c>
      <c r="G56" t="s">
        <v>472</v>
      </c>
      <c r="H56">
        <v>23</v>
      </c>
      <c r="I56">
        <v>330</v>
      </c>
      <c r="J56">
        <v>6400</v>
      </c>
      <c r="K56">
        <v>6030</v>
      </c>
      <c r="L56">
        <v>0</v>
      </c>
      <c r="M56">
        <v>0</v>
      </c>
      <c r="N56">
        <v>0</v>
      </c>
      <c r="O56">
        <v>90</v>
      </c>
      <c r="P56">
        <v>1060</v>
      </c>
      <c r="Q56" s="5">
        <f>unitlist3[[#This Row],[health]]/unitlist3[[#This Row],[buildtime]]</f>
        <v>0.175787728026534</v>
      </c>
      <c r="R56" s="5">
        <f>unitlist3[[#This Row],[dps]]/unitlist3[[#This Row],[metalcost]]</f>
        <v>0.62121212121212122</v>
      </c>
      <c r="AA56">
        <v>205</v>
      </c>
      <c r="AB56">
        <v>600</v>
      </c>
      <c r="AF56">
        <v>390</v>
      </c>
      <c r="AG56">
        <v>585</v>
      </c>
      <c r="AH56" t="s">
        <v>41</v>
      </c>
      <c r="AI56" t="s">
        <v>473</v>
      </c>
      <c r="AJ56" t="s">
        <v>41</v>
      </c>
      <c r="AK56">
        <v>1</v>
      </c>
      <c r="AL56" t="s">
        <v>1381</v>
      </c>
      <c r="AM56" t="s">
        <v>41</v>
      </c>
    </row>
    <row r="57" spans="1:39" hidden="1">
      <c r="A57" t="s">
        <v>566</v>
      </c>
      <c r="B57" t="s">
        <v>38</v>
      </c>
      <c r="C57">
        <v>2</v>
      </c>
      <c r="D57" t="s">
        <v>567</v>
      </c>
      <c r="E57" t="s">
        <v>568</v>
      </c>
      <c r="F57" t="s">
        <v>41</v>
      </c>
      <c r="G57" t="s">
        <v>569</v>
      </c>
      <c r="H57">
        <v>48</v>
      </c>
      <c r="I57">
        <v>680</v>
      </c>
      <c r="J57">
        <v>14000</v>
      </c>
      <c r="K57">
        <v>15000</v>
      </c>
      <c r="L57">
        <v>0</v>
      </c>
      <c r="M57">
        <v>0</v>
      </c>
      <c r="N57">
        <v>0</v>
      </c>
      <c r="O57">
        <v>0</v>
      </c>
      <c r="P57">
        <v>2800</v>
      </c>
      <c r="Q57" s="5">
        <f>unitlist3[[#This Row],[health]]/unitlist3[[#This Row],[buildtime]]</f>
        <v>0.18666666666666668</v>
      </c>
      <c r="R57" s="5">
        <f>unitlist3[[#This Row],[dps]]/unitlist3[[#This Row],[metalcost]]</f>
        <v>0.62058823529411766</v>
      </c>
      <c r="Z57">
        <v>1</v>
      </c>
      <c r="AA57">
        <v>422</v>
      </c>
      <c r="AB57">
        <v>730</v>
      </c>
      <c r="AF57">
        <v>598</v>
      </c>
      <c r="AG57">
        <v>897</v>
      </c>
      <c r="AH57" t="s">
        <v>98</v>
      </c>
      <c r="AI57" t="s">
        <v>124</v>
      </c>
      <c r="AJ57" t="s">
        <v>41</v>
      </c>
      <c r="AK57">
        <v>1</v>
      </c>
      <c r="AL57" t="s">
        <v>1409</v>
      </c>
      <c r="AM57" t="s">
        <v>41</v>
      </c>
    </row>
    <row r="58" spans="1:39" hidden="1">
      <c r="A58" t="s">
        <v>1134</v>
      </c>
      <c r="B58" t="s">
        <v>806</v>
      </c>
      <c r="C58">
        <v>1</v>
      </c>
      <c r="D58" t="s">
        <v>1135</v>
      </c>
      <c r="E58" t="s">
        <v>741</v>
      </c>
      <c r="F58" t="s">
        <v>41</v>
      </c>
      <c r="G58" t="s">
        <v>742</v>
      </c>
      <c r="H58">
        <v>15</v>
      </c>
      <c r="I58">
        <v>150</v>
      </c>
      <c r="J58">
        <v>4600</v>
      </c>
      <c r="K58">
        <v>5050</v>
      </c>
      <c r="L58">
        <v>0</v>
      </c>
      <c r="M58">
        <v>0</v>
      </c>
      <c r="N58">
        <v>0</v>
      </c>
      <c r="O58">
        <v>234</v>
      </c>
      <c r="P58">
        <v>680</v>
      </c>
      <c r="Q58" s="5">
        <f>unitlist3[[#This Row],[health]]/unitlist3[[#This Row],[buildtime]]</f>
        <v>0.13465346534653466</v>
      </c>
      <c r="R58" s="5">
        <f>unitlist3[[#This Row],[dps]]/unitlist3[[#This Row],[metalcost]]</f>
        <v>0.62</v>
      </c>
      <c r="U58">
        <v>1</v>
      </c>
      <c r="AA58">
        <v>93</v>
      </c>
      <c r="AB58">
        <v>1280</v>
      </c>
      <c r="AF58">
        <v>169</v>
      </c>
      <c r="AG58">
        <v>254</v>
      </c>
      <c r="AH58" t="s">
        <v>41</v>
      </c>
      <c r="AI58" t="s">
        <v>587</v>
      </c>
      <c r="AJ58" t="s">
        <v>41</v>
      </c>
      <c r="AK58">
        <v>1</v>
      </c>
      <c r="AL58" t="s">
        <v>1627</v>
      </c>
      <c r="AM58" t="s">
        <v>41</v>
      </c>
    </row>
    <row r="59" spans="1:39">
      <c r="A59" t="s">
        <v>874</v>
      </c>
      <c r="B59" t="s">
        <v>806</v>
      </c>
      <c r="C59">
        <v>2</v>
      </c>
      <c r="D59" t="s">
        <v>875</v>
      </c>
      <c r="E59" t="s">
        <v>876</v>
      </c>
      <c r="F59" t="s">
        <v>41</v>
      </c>
      <c r="G59" t="s">
        <v>874</v>
      </c>
      <c r="H59">
        <v>37</v>
      </c>
      <c r="I59">
        <v>560</v>
      </c>
      <c r="J59">
        <v>9300</v>
      </c>
      <c r="K59">
        <v>11700</v>
      </c>
      <c r="L59">
        <v>0</v>
      </c>
      <c r="M59">
        <v>0</v>
      </c>
      <c r="N59">
        <v>0</v>
      </c>
      <c r="O59">
        <v>38</v>
      </c>
      <c r="P59">
        <v>5400</v>
      </c>
      <c r="Q59" s="5">
        <f>unitlist3[[#This Row],[health]]/unitlist3[[#This Row],[buildtime]]</f>
        <v>0.46153846153846156</v>
      </c>
      <c r="R59" s="5">
        <f>unitlist3[[#This Row],[dps]]/unitlist3[[#This Row],[metalcost]]</f>
        <v>0.61428571428571432</v>
      </c>
      <c r="AA59">
        <v>344</v>
      </c>
      <c r="AB59">
        <v>275</v>
      </c>
      <c r="AF59">
        <v>350</v>
      </c>
      <c r="AG59">
        <v>525</v>
      </c>
      <c r="AH59" t="s">
        <v>41</v>
      </c>
      <c r="AI59" t="s">
        <v>128</v>
      </c>
      <c r="AJ59" t="s">
        <v>41</v>
      </c>
      <c r="AK59">
        <v>1</v>
      </c>
      <c r="AL59" t="s">
        <v>1508</v>
      </c>
      <c r="AM59" t="s">
        <v>41</v>
      </c>
    </row>
    <row r="60" spans="1:39" hidden="1">
      <c r="A60" t="s">
        <v>945</v>
      </c>
      <c r="B60" t="s">
        <v>806</v>
      </c>
      <c r="C60">
        <v>2</v>
      </c>
      <c r="D60" t="s">
        <v>946</v>
      </c>
      <c r="E60" t="s">
        <v>947</v>
      </c>
      <c r="F60" t="s">
        <v>41</v>
      </c>
      <c r="G60" t="s">
        <v>918</v>
      </c>
      <c r="H60">
        <v>80</v>
      </c>
      <c r="I60">
        <v>1200</v>
      </c>
      <c r="J60">
        <v>15000</v>
      </c>
      <c r="K60">
        <v>24000</v>
      </c>
      <c r="L60">
        <v>0</v>
      </c>
      <c r="M60">
        <v>0</v>
      </c>
      <c r="N60">
        <v>0</v>
      </c>
      <c r="O60">
        <v>0</v>
      </c>
      <c r="P60">
        <v>6700</v>
      </c>
      <c r="Q60" s="5">
        <f>unitlist3[[#This Row],[health]]/unitlist3[[#This Row],[buildtime]]</f>
        <v>0.27916666666666667</v>
      </c>
      <c r="R60" s="5">
        <f>unitlist3[[#This Row],[dps]]/unitlist3[[#This Row],[metalcost]]</f>
        <v>0.60916666666666663</v>
      </c>
      <c r="Z60">
        <v>1</v>
      </c>
      <c r="AA60">
        <v>731</v>
      </c>
      <c r="AB60">
        <v>900</v>
      </c>
      <c r="AF60">
        <v>780</v>
      </c>
      <c r="AG60">
        <v>1170</v>
      </c>
      <c r="AH60" t="s">
        <v>41</v>
      </c>
      <c r="AI60" t="s">
        <v>948</v>
      </c>
      <c r="AJ60" t="s">
        <v>41</v>
      </c>
      <c r="AK60">
        <v>1</v>
      </c>
      <c r="AL60" t="s">
        <v>1535</v>
      </c>
      <c r="AM60" t="s">
        <v>41</v>
      </c>
    </row>
    <row r="61" spans="1:39" hidden="1">
      <c r="A61" t="s">
        <v>739</v>
      </c>
      <c r="B61" t="s">
        <v>38</v>
      </c>
      <c r="C61">
        <v>1</v>
      </c>
      <c r="D61" t="s">
        <v>740</v>
      </c>
      <c r="E61" t="s">
        <v>741</v>
      </c>
      <c r="F61" t="s">
        <v>41</v>
      </c>
      <c r="G61" t="s">
        <v>742</v>
      </c>
      <c r="H61">
        <v>16</v>
      </c>
      <c r="I61">
        <v>145</v>
      </c>
      <c r="J61">
        <v>4200</v>
      </c>
      <c r="K61">
        <v>4780</v>
      </c>
      <c r="L61">
        <v>0</v>
      </c>
      <c r="M61">
        <v>0</v>
      </c>
      <c r="N61">
        <v>0</v>
      </c>
      <c r="O61">
        <v>255</v>
      </c>
      <c r="P61">
        <v>670</v>
      </c>
      <c r="Q61" s="5">
        <f>unitlist3[[#This Row],[health]]/unitlist3[[#This Row],[buildtime]]</f>
        <v>0.14016736401673641</v>
      </c>
      <c r="R61" s="5">
        <f>unitlist3[[#This Row],[dps]]/unitlist3[[#This Row],[metalcost]]</f>
        <v>0.60689655172413792</v>
      </c>
      <c r="U61">
        <v>1</v>
      </c>
      <c r="AA61">
        <v>88</v>
      </c>
      <c r="AB61">
        <v>1280</v>
      </c>
      <c r="AF61">
        <v>195</v>
      </c>
      <c r="AG61">
        <v>293</v>
      </c>
      <c r="AH61" t="s">
        <v>41</v>
      </c>
      <c r="AI61" t="s">
        <v>587</v>
      </c>
      <c r="AJ61" t="s">
        <v>41</v>
      </c>
      <c r="AK61">
        <v>1</v>
      </c>
      <c r="AL61" t="s">
        <v>1452</v>
      </c>
      <c r="AM61" t="s">
        <v>41</v>
      </c>
    </row>
    <row r="62" spans="1:39">
      <c r="A62" t="s">
        <v>797</v>
      </c>
      <c r="B62" t="s">
        <v>38</v>
      </c>
      <c r="C62">
        <v>2</v>
      </c>
      <c r="D62" t="s">
        <v>798</v>
      </c>
      <c r="E62" t="s">
        <v>799</v>
      </c>
      <c r="F62" t="s">
        <v>41</v>
      </c>
      <c r="G62" t="s">
        <v>800</v>
      </c>
      <c r="H62">
        <v>36</v>
      </c>
      <c r="I62">
        <v>450</v>
      </c>
      <c r="J62">
        <v>9100</v>
      </c>
      <c r="K62">
        <v>9950</v>
      </c>
      <c r="L62">
        <v>0</v>
      </c>
      <c r="M62">
        <v>0</v>
      </c>
      <c r="N62">
        <v>0</v>
      </c>
      <c r="O62">
        <v>71</v>
      </c>
      <c r="P62">
        <v>2600</v>
      </c>
      <c r="Q62" s="5">
        <f>unitlist3[[#This Row],[health]]/unitlist3[[#This Row],[buildtime]]</f>
        <v>0.2613065326633166</v>
      </c>
      <c r="R62" s="5">
        <f>unitlist3[[#This Row],[dps]]/unitlist3[[#This Row],[metalcost]]</f>
        <v>0.60666666666666669</v>
      </c>
      <c r="AA62">
        <v>273</v>
      </c>
      <c r="AB62">
        <v>775</v>
      </c>
      <c r="AF62">
        <v>390</v>
      </c>
      <c r="AG62">
        <v>900</v>
      </c>
      <c r="AH62" t="s">
        <v>41</v>
      </c>
      <c r="AI62" t="s">
        <v>124</v>
      </c>
      <c r="AJ62" t="s">
        <v>41</v>
      </c>
      <c r="AK62">
        <v>1</v>
      </c>
      <c r="AL62" t="s">
        <v>1471</v>
      </c>
      <c r="AM62" t="s">
        <v>41</v>
      </c>
    </row>
    <row r="63" spans="1:39" hidden="1">
      <c r="A63" t="s">
        <v>1036</v>
      </c>
      <c r="B63" t="s">
        <v>806</v>
      </c>
      <c r="C63">
        <v>1</v>
      </c>
      <c r="D63" t="s">
        <v>1037</v>
      </c>
      <c r="E63" t="s">
        <v>1038</v>
      </c>
      <c r="F63" t="s">
        <v>41</v>
      </c>
      <c r="G63" t="s">
        <v>341</v>
      </c>
      <c r="H63">
        <v>35</v>
      </c>
      <c r="I63">
        <v>315</v>
      </c>
      <c r="J63">
        <v>6100</v>
      </c>
      <c r="K63">
        <v>5240</v>
      </c>
      <c r="L63">
        <v>0</v>
      </c>
      <c r="M63">
        <v>0</v>
      </c>
      <c r="N63">
        <v>0</v>
      </c>
      <c r="O63">
        <v>0</v>
      </c>
      <c r="P63">
        <v>2800</v>
      </c>
      <c r="Q63" s="5">
        <f>unitlist3[[#This Row],[health]]/unitlist3[[#This Row],[buildtime]]</f>
        <v>0.53435114503816794</v>
      </c>
      <c r="R63" s="5">
        <f>unitlist3[[#This Row],[dps]]/unitlist3[[#This Row],[metalcost]]</f>
        <v>0.60317460317460314</v>
      </c>
      <c r="Z63">
        <v>1</v>
      </c>
      <c r="AA63">
        <v>190</v>
      </c>
      <c r="AB63">
        <v>840</v>
      </c>
      <c r="AF63">
        <v>375</v>
      </c>
      <c r="AG63">
        <v>850</v>
      </c>
      <c r="AH63" t="s">
        <v>41</v>
      </c>
      <c r="AI63" t="s">
        <v>88</v>
      </c>
      <c r="AJ63" t="s">
        <v>41</v>
      </c>
      <c r="AK63">
        <v>1</v>
      </c>
      <c r="AL63" t="s">
        <v>1578</v>
      </c>
      <c r="AM63" t="s">
        <v>41</v>
      </c>
    </row>
    <row r="64" spans="1:39" hidden="1">
      <c r="A64" t="s">
        <v>916</v>
      </c>
      <c r="B64" t="s">
        <v>806</v>
      </c>
      <c r="C64">
        <v>1</v>
      </c>
      <c r="D64" t="s">
        <v>917</v>
      </c>
      <c r="E64" t="s">
        <v>290</v>
      </c>
      <c r="F64" t="s">
        <v>41</v>
      </c>
      <c r="G64" t="s">
        <v>291</v>
      </c>
      <c r="H64">
        <v>53</v>
      </c>
      <c r="I64">
        <v>250</v>
      </c>
      <c r="J64">
        <v>2200</v>
      </c>
      <c r="K64">
        <v>6800</v>
      </c>
      <c r="L64">
        <v>0</v>
      </c>
      <c r="M64">
        <v>0</v>
      </c>
      <c r="N64">
        <v>0</v>
      </c>
      <c r="O64">
        <v>0</v>
      </c>
      <c r="P64">
        <v>2350</v>
      </c>
      <c r="Q64" s="5">
        <f>unitlist3[[#This Row],[health]]/unitlist3[[#This Row],[buildtime]]</f>
        <v>0.34558823529411764</v>
      </c>
      <c r="R64" s="5">
        <f>unitlist3[[#This Row],[dps]]/unitlist3[[#This Row],[metalcost]]</f>
        <v>0.6</v>
      </c>
      <c r="Z64">
        <v>1</v>
      </c>
      <c r="AA64">
        <v>150</v>
      </c>
      <c r="AB64">
        <v>600</v>
      </c>
      <c r="AD64">
        <v>600</v>
      </c>
      <c r="AF64">
        <v>611</v>
      </c>
      <c r="AG64">
        <v>917</v>
      </c>
      <c r="AH64" t="s">
        <v>41</v>
      </c>
      <c r="AI64" t="s">
        <v>168</v>
      </c>
      <c r="AJ64" t="s">
        <v>41</v>
      </c>
      <c r="AK64">
        <v>1</v>
      </c>
      <c r="AL64" t="s">
        <v>1521</v>
      </c>
      <c r="AM64" t="s">
        <v>41</v>
      </c>
    </row>
    <row r="65" spans="1:39" hidden="1">
      <c r="A65" t="s">
        <v>636</v>
      </c>
      <c r="B65" t="s">
        <v>38</v>
      </c>
      <c r="C65">
        <v>1</v>
      </c>
      <c r="D65" t="s">
        <v>637</v>
      </c>
      <c r="E65" t="s">
        <v>638</v>
      </c>
      <c r="F65" t="s">
        <v>41</v>
      </c>
      <c r="G65" t="s">
        <v>639</v>
      </c>
      <c r="H65">
        <v>20</v>
      </c>
      <c r="I65">
        <v>240</v>
      </c>
      <c r="J65">
        <v>7500</v>
      </c>
      <c r="K65">
        <v>8000</v>
      </c>
      <c r="L65">
        <v>0</v>
      </c>
      <c r="M65">
        <v>0</v>
      </c>
      <c r="N65">
        <v>0</v>
      </c>
      <c r="O65">
        <v>267</v>
      </c>
      <c r="P65">
        <v>1170</v>
      </c>
      <c r="Q65" s="5">
        <f>unitlist3[[#This Row],[health]]/unitlist3[[#This Row],[buildtime]]</f>
        <v>0.14624999999999999</v>
      </c>
      <c r="R65" s="5">
        <f>unitlist3[[#This Row],[dps]]/unitlist3[[#This Row],[metalcost]]</f>
        <v>0.59583333333333333</v>
      </c>
      <c r="S65">
        <v>1</v>
      </c>
      <c r="U65">
        <v>1</v>
      </c>
      <c r="AA65">
        <v>143</v>
      </c>
      <c r="AB65">
        <v>1280</v>
      </c>
      <c r="AF65">
        <v>455</v>
      </c>
      <c r="AG65">
        <v>683</v>
      </c>
      <c r="AH65" t="s">
        <v>41</v>
      </c>
      <c r="AI65" t="s">
        <v>587</v>
      </c>
      <c r="AJ65" t="s">
        <v>41</v>
      </c>
      <c r="AK65">
        <v>1</v>
      </c>
      <c r="AL65" t="s">
        <v>1426</v>
      </c>
      <c r="AM65" t="s">
        <v>41</v>
      </c>
    </row>
    <row r="66" spans="1:39">
      <c r="A66" t="s">
        <v>110</v>
      </c>
      <c r="B66" t="s">
        <v>38</v>
      </c>
      <c r="C66">
        <v>2</v>
      </c>
      <c r="D66" t="s">
        <v>111</v>
      </c>
      <c r="E66" t="s">
        <v>112</v>
      </c>
      <c r="F66" t="s">
        <v>41</v>
      </c>
      <c r="G66" t="s">
        <v>113</v>
      </c>
      <c r="H66">
        <v>33</v>
      </c>
      <c r="I66">
        <v>260</v>
      </c>
      <c r="J66">
        <v>2700</v>
      </c>
      <c r="K66">
        <v>5200</v>
      </c>
      <c r="L66">
        <v>0</v>
      </c>
      <c r="M66">
        <v>0</v>
      </c>
      <c r="N66">
        <v>0</v>
      </c>
      <c r="O66">
        <v>90</v>
      </c>
      <c r="P66">
        <v>1170</v>
      </c>
      <c r="Q66" s="5">
        <f>unitlist3[[#This Row],[health]]/unitlist3[[#This Row],[buildtime]]</f>
        <v>0.22500000000000001</v>
      </c>
      <c r="R66" s="5">
        <f>unitlist3[[#This Row],[dps]]/unitlist3[[#This Row],[metalcost]]</f>
        <v>0.58461538461538465</v>
      </c>
      <c r="V66">
        <v>1</v>
      </c>
      <c r="AA66">
        <v>152</v>
      </c>
      <c r="AB66">
        <v>600</v>
      </c>
      <c r="AF66">
        <v>377</v>
      </c>
      <c r="AG66">
        <v>566</v>
      </c>
      <c r="AH66" t="s">
        <v>41</v>
      </c>
      <c r="AI66" t="s">
        <v>114</v>
      </c>
      <c r="AJ66" t="s">
        <v>41</v>
      </c>
      <c r="AK66">
        <v>1</v>
      </c>
      <c r="AL66" t="s">
        <v>1287</v>
      </c>
      <c r="AM66" t="s">
        <v>41</v>
      </c>
    </row>
    <row r="67" spans="1:39">
      <c r="A67" t="s">
        <v>1128</v>
      </c>
      <c r="B67" t="s">
        <v>806</v>
      </c>
      <c r="C67">
        <v>2</v>
      </c>
      <c r="D67" t="s">
        <v>1129</v>
      </c>
      <c r="E67" t="s">
        <v>799</v>
      </c>
      <c r="F67" t="s">
        <v>41</v>
      </c>
      <c r="G67" t="s">
        <v>800</v>
      </c>
      <c r="H67">
        <v>37</v>
      </c>
      <c r="I67">
        <v>470</v>
      </c>
      <c r="J67">
        <v>10500</v>
      </c>
      <c r="K67">
        <v>12000</v>
      </c>
      <c r="L67">
        <v>0</v>
      </c>
      <c r="M67">
        <v>0</v>
      </c>
      <c r="N67">
        <v>0</v>
      </c>
      <c r="O67">
        <v>69</v>
      </c>
      <c r="P67">
        <v>2700</v>
      </c>
      <c r="Q67" s="5">
        <f>unitlist3[[#This Row],[health]]/unitlist3[[#This Row],[buildtime]]</f>
        <v>0.22500000000000001</v>
      </c>
      <c r="R67" s="5">
        <f>unitlist3[[#This Row],[dps]]/unitlist3[[#This Row],[metalcost]]</f>
        <v>0.58085106382978724</v>
      </c>
      <c r="AA67">
        <v>273</v>
      </c>
      <c r="AB67">
        <v>775</v>
      </c>
      <c r="AF67">
        <v>338</v>
      </c>
      <c r="AG67">
        <v>900</v>
      </c>
      <c r="AH67" t="s">
        <v>41</v>
      </c>
      <c r="AI67" t="s">
        <v>124</v>
      </c>
      <c r="AJ67" t="s">
        <v>41</v>
      </c>
      <c r="AK67">
        <v>1</v>
      </c>
      <c r="AL67" t="s">
        <v>1624</v>
      </c>
      <c r="AM67" t="s">
        <v>41</v>
      </c>
    </row>
    <row r="68" spans="1:39" hidden="1">
      <c r="A68" t="s">
        <v>362</v>
      </c>
      <c r="B68" t="s">
        <v>38</v>
      </c>
      <c r="C68">
        <v>2</v>
      </c>
      <c r="D68" t="s">
        <v>363</v>
      </c>
      <c r="E68" t="s">
        <v>364</v>
      </c>
      <c r="F68" t="s">
        <v>41</v>
      </c>
      <c r="G68" t="s">
        <v>345</v>
      </c>
      <c r="H68">
        <v>54</v>
      </c>
      <c r="I68">
        <v>820</v>
      </c>
      <c r="J68">
        <v>13000</v>
      </c>
      <c r="K68">
        <v>19000</v>
      </c>
      <c r="L68">
        <v>0</v>
      </c>
      <c r="M68">
        <v>0</v>
      </c>
      <c r="N68">
        <v>0</v>
      </c>
      <c r="O68">
        <v>0</v>
      </c>
      <c r="P68">
        <v>1750</v>
      </c>
      <c r="Q68" s="5">
        <f>unitlist3[[#This Row],[health]]/unitlist3[[#This Row],[buildtime]]</f>
        <v>9.2105263157894732E-2</v>
      </c>
      <c r="R68" s="5">
        <f>unitlist3[[#This Row],[dps]]/unitlist3[[#This Row],[metalcost]]</f>
        <v>0.57195121951219507</v>
      </c>
      <c r="Z68">
        <v>1</v>
      </c>
      <c r="AA68">
        <v>469</v>
      </c>
      <c r="AB68">
        <v>775</v>
      </c>
      <c r="AF68">
        <v>525</v>
      </c>
      <c r="AG68">
        <v>1000</v>
      </c>
      <c r="AH68" t="s">
        <v>41</v>
      </c>
      <c r="AI68" t="s">
        <v>124</v>
      </c>
      <c r="AJ68" t="s">
        <v>41</v>
      </c>
      <c r="AK68">
        <v>1</v>
      </c>
      <c r="AL68" t="s">
        <v>1350</v>
      </c>
      <c r="AM68" t="s">
        <v>41</v>
      </c>
    </row>
    <row r="69" spans="1:39" hidden="1">
      <c r="A69" t="s">
        <v>1212</v>
      </c>
      <c r="B69" t="s">
        <v>806</v>
      </c>
      <c r="C69">
        <v>2</v>
      </c>
      <c r="D69" t="s">
        <v>1213</v>
      </c>
      <c r="E69" t="s">
        <v>1214</v>
      </c>
      <c r="F69" t="s">
        <v>41</v>
      </c>
      <c r="G69" t="s">
        <v>1215</v>
      </c>
      <c r="H69">
        <v>50</v>
      </c>
      <c r="I69">
        <v>730</v>
      </c>
      <c r="J69">
        <v>14000</v>
      </c>
      <c r="K69">
        <v>15000</v>
      </c>
      <c r="L69">
        <v>0</v>
      </c>
      <c r="M69">
        <v>0</v>
      </c>
      <c r="N69">
        <v>0</v>
      </c>
      <c r="O69">
        <v>0</v>
      </c>
      <c r="P69">
        <v>3000</v>
      </c>
      <c r="Q69" s="5">
        <f>unitlist3[[#This Row],[health]]/unitlist3[[#This Row],[buildtime]]</f>
        <v>0.2</v>
      </c>
      <c r="R69" s="5">
        <f>unitlist3[[#This Row],[dps]]/unitlist3[[#This Row],[metalcost]]</f>
        <v>0.5657534246575342</v>
      </c>
      <c r="Z69">
        <v>1</v>
      </c>
      <c r="AA69">
        <v>413</v>
      </c>
      <c r="AB69">
        <v>730</v>
      </c>
      <c r="AF69">
        <v>546</v>
      </c>
      <c r="AG69">
        <v>819</v>
      </c>
      <c r="AH69" t="s">
        <v>41</v>
      </c>
      <c r="AI69" t="s">
        <v>88</v>
      </c>
      <c r="AJ69" t="s">
        <v>41</v>
      </c>
      <c r="AK69">
        <v>1</v>
      </c>
      <c r="AL69" t="s">
        <v>1666</v>
      </c>
      <c r="AM69" t="s">
        <v>41</v>
      </c>
    </row>
    <row r="70" spans="1:39" hidden="1">
      <c r="A70" t="s">
        <v>482</v>
      </c>
      <c r="B70" t="s">
        <v>38</v>
      </c>
      <c r="C70">
        <v>2</v>
      </c>
      <c r="D70" t="s">
        <v>1384</v>
      </c>
      <c r="E70" t="s">
        <v>483</v>
      </c>
      <c r="F70" t="s">
        <v>41</v>
      </c>
      <c r="G70" t="s">
        <v>484</v>
      </c>
      <c r="H70">
        <v>24</v>
      </c>
      <c r="I70">
        <v>570</v>
      </c>
      <c r="J70">
        <v>11400</v>
      </c>
      <c r="K70">
        <v>11400</v>
      </c>
      <c r="L70">
        <v>0</v>
      </c>
      <c r="M70">
        <v>0</v>
      </c>
      <c r="N70">
        <v>0</v>
      </c>
      <c r="O70">
        <v>99</v>
      </c>
      <c r="P70">
        <v>2200</v>
      </c>
      <c r="Q70" s="5">
        <f>unitlist3[[#This Row],[health]]/unitlist3[[#This Row],[buildtime]]</f>
        <v>0.19298245614035087</v>
      </c>
      <c r="R70" s="5">
        <f>unitlist3[[#This Row],[dps]]/unitlist3[[#This Row],[metalcost]]</f>
        <v>0.55964912280701751</v>
      </c>
      <c r="W70">
        <v>1</v>
      </c>
      <c r="AA70">
        <v>319</v>
      </c>
      <c r="AB70">
        <v>710</v>
      </c>
      <c r="AE70">
        <v>750</v>
      </c>
      <c r="AF70">
        <v>500</v>
      </c>
      <c r="AG70">
        <v>750</v>
      </c>
      <c r="AH70" t="s">
        <v>41</v>
      </c>
      <c r="AI70" t="s">
        <v>473</v>
      </c>
      <c r="AJ70" t="s">
        <v>41</v>
      </c>
      <c r="AK70">
        <v>1</v>
      </c>
      <c r="AL70" t="s">
        <v>1385</v>
      </c>
      <c r="AM70" t="s">
        <v>41</v>
      </c>
    </row>
    <row r="71" spans="1:39" hidden="1">
      <c r="A71" t="s">
        <v>342</v>
      </c>
      <c r="B71" t="s">
        <v>38</v>
      </c>
      <c r="C71">
        <v>2</v>
      </c>
      <c r="D71" t="s">
        <v>343</v>
      </c>
      <c r="E71" t="s">
        <v>344</v>
      </c>
      <c r="F71" t="s">
        <v>41</v>
      </c>
      <c r="G71" t="s">
        <v>345</v>
      </c>
      <c r="H71">
        <v>41</v>
      </c>
      <c r="I71">
        <v>850</v>
      </c>
      <c r="J71">
        <v>23000</v>
      </c>
      <c r="K71">
        <v>21900</v>
      </c>
      <c r="L71">
        <v>0</v>
      </c>
      <c r="M71">
        <v>0</v>
      </c>
      <c r="N71">
        <v>0</v>
      </c>
      <c r="O71">
        <v>0</v>
      </c>
      <c r="P71">
        <v>1920</v>
      </c>
      <c r="Q71" s="5">
        <f>unitlist3[[#This Row],[health]]/unitlist3[[#This Row],[buildtime]]</f>
        <v>8.7671232876712329E-2</v>
      </c>
      <c r="R71" s="5">
        <f>unitlist3[[#This Row],[dps]]/unitlist3[[#This Row],[metalcost]]</f>
        <v>0.55176470588235293</v>
      </c>
      <c r="Z71">
        <v>1</v>
      </c>
      <c r="AA71">
        <v>469</v>
      </c>
      <c r="AB71">
        <v>775</v>
      </c>
      <c r="AF71">
        <v>550</v>
      </c>
      <c r="AG71">
        <v>1000</v>
      </c>
      <c r="AH71" t="s">
        <v>41</v>
      </c>
      <c r="AI71" t="s">
        <v>124</v>
      </c>
      <c r="AJ71" t="s">
        <v>41</v>
      </c>
      <c r="AK71">
        <v>1</v>
      </c>
      <c r="AL71" t="s">
        <v>1345</v>
      </c>
      <c r="AM71" t="s">
        <v>41</v>
      </c>
    </row>
    <row r="72" spans="1:39" hidden="1">
      <c r="A72" t="s">
        <v>956</v>
      </c>
      <c r="B72" t="s">
        <v>806</v>
      </c>
      <c r="C72">
        <v>2</v>
      </c>
      <c r="D72" t="s">
        <v>957</v>
      </c>
      <c r="E72" t="s">
        <v>364</v>
      </c>
      <c r="F72" t="s">
        <v>41</v>
      </c>
      <c r="G72" t="s">
        <v>345</v>
      </c>
      <c r="H72">
        <v>10</v>
      </c>
      <c r="I72">
        <v>850</v>
      </c>
      <c r="J72">
        <v>14000</v>
      </c>
      <c r="K72">
        <v>20100</v>
      </c>
      <c r="L72">
        <v>0</v>
      </c>
      <c r="M72">
        <v>0</v>
      </c>
      <c r="N72">
        <v>0</v>
      </c>
      <c r="O72">
        <v>0</v>
      </c>
      <c r="P72">
        <v>1840</v>
      </c>
      <c r="Q72" s="5">
        <f>unitlist3[[#This Row],[health]]/unitlist3[[#This Row],[buildtime]]</f>
        <v>9.1542288557213927E-2</v>
      </c>
      <c r="R72" s="5">
        <f>unitlist3[[#This Row],[dps]]/unitlist3[[#This Row],[metalcost]]</f>
        <v>0.55176470588235293</v>
      </c>
      <c r="Z72">
        <v>1</v>
      </c>
      <c r="AA72">
        <v>469</v>
      </c>
      <c r="AB72">
        <v>775</v>
      </c>
      <c r="AF72">
        <v>525</v>
      </c>
      <c r="AG72">
        <v>1000</v>
      </c>
      <c r="AH72" t="s">
        <v>41</v>
      </c>
      <c r="AI72" t="s">
        <v>124</v>
      </c>
      <c r="AJ72" t="s">
        <v>41</v>
      </c>
      <c r="AK72">
        <v>1</v>
      </c>
      <c r="AL72" t="s">
        <v>1540</v>
      </c>
      <c r="AM72" t="s">
        <v>41</v>
      </c>
    </row>
    <row r="73" spans="1:39">
      <c r="A73" t="s">
        <v>1175</v>
      </c>
      <c r="B73" t="s">
        <v>806</v>
      </c>
      <c r="C73">
        <v>2</v>
      </c>
      <c r="D73" t="s">
        <v>1176</v>
      </c>
      <c r="E73" t="s">
        <v>1177</v>
      </c>
      <c r="F73" t="s">
        <v>41</v>
      </c>
      <c r="G73" t="s">
        <v>1178</v>
      </c>
      <c r="H73">
        <v>7</v>
      </c>
      <c r="I73">
        <v>600</v>
      </c>
      <c r="J73">
        <v>9000</v>
      </c>
      <c r="K73">
        <v>15000</v>
      </c>
      <c r="L73">
        <v>0</v>
      </c>
      <c r="M73">
        <v>0</v>
      </c>
      <c r="N73">
        <v>0</v>
      </c>
      <c r="O73">
        <v>48</v>
      </c>
      <c r="P73">
        <v>3100</v>
      </c>
      <c r="Q73" s="5">
        <f>unitlist3[[#This Row],[health]]/unitlist3[[#This Row],[buildtime]]</f>
        <v>0.20666666666666667</v>
      </c>
      <c r="R73" s="5">
        <f>unitlist3[[#This Row],[dps]]/unitlist3[[#This Row],[metalcost]]</f>
        <v>0.55166666666666664</v>
      </c>
      <c r="AA73">
        <v>331</v>
      </c>
      <c r="AB73">
        <v>340</v>
      </c>
      <c r="AF73">
        <v>380</v>
      </c>
      <c r="AG73">
        <v>570</v>
      </c>
      <c r="AH73" t="s">
        <v>41</v>
      </c>
      <c r="AI73" t="s">
        <v>128</v>
      </c>
      <c r="AJ73" t="s">
        <v>41</v>
      </c>
      <c r="AK73">
        <v>1</v>
      </c>
      <c r="AL73" t="s">
        <v>1646</v>
      </c>
      <c r="AM73" t="s">
        <v>41</v>
      </c>
    </row>
    <row r="74" spans="1:39" hidden="1">
      <c r="A74" t="s">
        <v>456</v>
      </c>
      <c r="B74" t="s">
        <v>38</v>
      </c>
      <c r="C74">
        <v>2</v>
      </c>
      <c r="D74" t="s">
        <v>457</v>
      </c>
      <c r="E74" t="s">
        <v>458</v>
      </c>
      <c r="F74" t="s">
        <v>41</v>
      </c>
      <c r="G74" t="s">
        <v>459</v>
      </c>
      <c r="H74">
        <v>64</v>
      </c>
      <c r="I74">
        <v>1000</v>
      </c>
      <c r="J74">
        <v>13000</v>
      </c>
      <c r="K74">
        <v>20000</v>
      </c>
      <c r="L74">
        <v>0</v>
      </c>
      <c r="M74">
        <v>0</v>
      </c>
      <c r="N74">
        <v>0</v>
      </c>
      <c r="O74">
        <v>0</v>
      </c>
      <c r="P74">
        <v>4450</v>
      </c>
      <c r="Q74" s="5">
        <f>unitlist3[[#This Row],[health]]/unitlist3[[#This Row],[buildtime]]</f>
        <v>0.2225</v>
      </c>
      <c r="R74" s="5">
        <f>unitlist3[[#This Row],[dps]]/unitlist3[[#This Row],[metalcost]]</f>
        <v>0.54</v>
      </c>
      <c r="Z74">
        <v>1</v>
      </c>
      <c r="AA74">
        <v>540</v>
      </c>
      <c r="AB74">
        <v>800</v>
      </c>
      <c r="AF74">
        <v>700</v>
      </c>
      <c r="AG74">
        <v>1050</v>
      </c>
      <c r="AH74" t="s">
        <v>41</v>
      </c>
      <c r="AI74" t="s">
        <v>124</v>
      </c>
      <c r="AJ74" t="s">
        <v>41</v>
      </c>
      <c r="AK74">
        <v>1</v>
      </c>
      <c r="AL74" t="s">
        <v>1378</v>
      </c>
      <c r="AM74" t="s">
        <v>41</v>
      </c>
    </row>
    <row r="75" spans="1:39">
      <c r="A75" t="s">
        <v>988</v>
      </c>
      <c r="B75" t="s">
        <v>806</v>
      </c>
      <c r="C75">
        <v>1</v>
      </c>
      <c r="D75" t="s">
        <v>989</v>
      </c>
      <c r="E75" t="s">
        <v>990</v>
      </c>
      <c r="F75" t="s">
        <v>41</v>
      </c>
      <c r="G75" t="s">
        <v>988</v>
      </c>
      <c r="H75">
        <v>23</v>
      </c>
      <c r="I75">
        <v>640</v>
      </c>
      <c r="J75">
        <v>13000</v>
      </c>
      <c r="K75">
        <v>12900</v>
      </c>
      <c r="L75">
        <v>0</v>
      </c>
      <c r="M75">
        <v>0</v>
      </c>
      <c r="N75">
        <v>0</v>
      </c>
      <c r="O75">
        <v>45</v>
      </c>
      <c r="P75">
        <v>4350</v>
      </c>
      <c r="Q75" s="5">
        <f>unitlist3[[#This Row],[health]]/unitlist3[[#This Row],[buildtime]]</f>
        <v>0.33720930232558138</v>
      </c>
      <c r="R75" s="5">
        <f>unitlist3[[#This Row],[dps]]/unitlist3[[#This Row],[metalcost]]</f>
        <v>0.53749999999999998</v>
      </c>
      <c r="V75">
        <v>1</v>
      </c>
      <c r="AA75">
        <v>344</v>
      </c>
      <c r="AB75">
        <v>300</v>
      </c>
      <c r="AF75">
        <v>450</v>
      </c>
      <c r="AG75">
        <v>675</v>
      </c>
      <c r="AH75" t="s">
        <v>41</v>
      </c>
      <c r="AI75" t="s">
        <v>128</v>
      </c>
      <c r="AJ75" t="s">
        <v>41</v>
      </c>
      <c r="AK75">
        <v>1</v>
      </c>
      <c r="AL75" t="s">
        <v>1557</v>
      </c>
      <c r="AM75" t="s">
        <v>41</v>
      </c>
    </row>
    <row r="76" spans="1:39" hidden="1">
      <c r="A76" t="s">
        <v>129</v>
      </c>
      <c r="B76" t="s">
        <v>38</v>
      </c>
      <c r="C76">
        <v>2</v>
      </c>
      <c r="D76" t="s">
        <v>1291</v>
      </c>
      <c r="E76" t="s">
        <v>130</v>
      </c>
      <c r="F76" t="s">
        <v>41</v>
      </c>
      <c r="G76" t="s">
        <v>131</v>
      </c>
      <c r="H76">
        <v>33</v>
      </c>
      <c r="I76">
        <v>1400</v>
      </c>
      <c r="J76">
        <v>12000</v>
      </c>
      <c r="K76">
        <v>20000</v>
      </c>
      <c r="L76">
        <v>0</v>
      </c>
      <c r="M76">
        <v>300</v>
      </c>
      <c r="N76">
        <v>1000</v>
      </c>
      <c r="O76">
        <v>63</v>
      </c>
      <c r="P76">
        <v>5000</v>
      </c>
      <c r="Q76" s="5">
        <f>unitlist3[[#This Row],[health]]/unitlist3[[#This Row],[buildtime]]</f>
        <v>0.25</v>
      </c>
      <c r="R76" s="5">
        <f>unitlist3[[#This Row],[dps]]/unitlist3[[#This Row],[metalcost]]</f>
        <v>0.5357142857142857</v>
      </c>
      <c r="W76">
        <v>1</v>
      </c>
      <c r="AA76">
        <v>750</v>
      </c>
      <c r="AB76">
        <v>72000</v>
      </c>
      <c r="AD76">
        <v>760</v>
      </c>
      <c r="AE76">
        <v>2950</v>
      </c>
      <c r="AF76">
        <v>1000</v>
      </c>
      <c r="AG76">
        <v>1500</v>
      </c>
      <c r="AH76" t="s">
        <v>48</v>
      </c>
      <c r="AI76" t="s">
        <v>104</v>
      </c>
      <c r="AJ76" t="s">
        <v>41</v>
      </c>
      <c r="AK76">
        <v>1</v>
      </c>
      <c r="AL76" t="s">
        <v>1292</v>
      </c>
      <c r="AM76" t="s">
        <v>41</v>
      </c>
    </row>
    <row r="77" spans="1:39" hidden="1">
      <c r="A77" t="s">
        <v>834</v>
      </c>
      <c r="B77" t="s">
        <v>806</v>
      </c>
      <c r="C77">
        <v>2</v>
      </c>
      <c r="D77" t="s">
        <v>1488</v>
      </c>
      <c r="E77" t="s">
        <v>130</v>
      </c>
      <c r="F77" t="s">
        <v>41</v>
      </c>
      <c r="G77" t="s">
        <v>131</v>
      </c>
      <c r="H77">
        <v>29</v>
      </c>
      <c r="I77">
        <v>1400</v>
      </c>
      <c r="J77">
        <v>12000</v>
      </c>
      <c r="K77">
        <v>20000</v>
      </c>
      <c r="L77">
        <v>0</v>
      </c>
      <c r="M77">
        <v>300</v>
      </c>
      <c r="N77">
        <v>1000</v>
      </c>
      <c r="O77">
        <v>63</v>
      </c>
      <c r="P77">
        <v>5000</v>
      </c>
      <c r="Q77" s="5">
        <f>unitlist3[[#This Row],[health]]/unitlist3[[#This Row],[buildtime]]</f>
        <v>0.25</v>
      </c>
      <c r="R77" s="5">
        <f>unitlist3[[#This Row],[dps]]/unitlist3[[#This Row],[metalcost]]</f>
        <v>0.5357142857142857</v>
      </c>
      <c r="W77">
        <v>1</v>
      </c>
      <c r="AA77">
        <v>750</v>
      </c>
      <c r="AB77">
        <v>72000</v>
      </c>
      <c r="AD77">
        <v>760</v>
      </c>
      <c r="AE77">
        <v>2950</v>
      </c>
      <c r="AF77">
        <v>1000</v>
      </c>
      <c r="AG77">
        <v>1500</v>
      </c>
      <c r="AH77" t="s">
        <v>48</v>
      </c>
      <c r="AI77" t="s">
        <v>104</v>
      </c>
      <c r="AJ77" t="s">
        <v>41</v>
      </c>
      <c r="AK77">
        <v>1</v>
      </c>
      <c r="AL77" t="s">
        <v>1489</v>
      </c>
      <c r="AM77" t="s">
        <v>41</v>
      </c>
    </row>
    <row r="78" spans="1:39" hidden="1">
      <c r="A78" t="s">
        <v>891</v>
      </c>
      <c r="B78" t="s">
        <v>806</v>
      </c>
      <c r="C78">
        <v>2</v>
      </c>
      <c r="D78" t="s">
        <v>892</v>
      </c>
      <c r="E78" t="s">
        <v>258</v>
      </c>
      <c r="F78" t="s">
        <v>41</v>
      </c>
      <c r="G78" t="s">
        <v>893</v>
      </c>
      <c r="H78">
        <v>31</v>
      </c>
      <c r="I78">
        <v>1000</v>
      </c>
      <c r="J78">
        <v>12000</v>
      </c>
      <c r="K78">
        <v>17000</v>
      </c>
      <c r="L78">
        <v>0</v>
      </c>
      <c r="M78">
        <v>0</v>
      </c>
      <c r="N78">
        <v>0</v>
      </c>
      <c r="O78">
        <v>54</v>
      </c>
      <c r="P78">
        <v>6200</v>
      </c>
      <c r="Q78" s="5">
        <f>unitlist3[[#This Row],[health]]/unitlist3[[#This Row],[buildtime]]</f>
        <v>0.36470588235294116</v>
      </c>
      <c r="R78" s="5">
        <f>unitlist3[[#This Row],[dps]]/unitlist3[[#This Row],[metalcost]]</f>
        <v>0.53200000000000003</v>
      </c>
      <c r="W78">
        <v>1</v>
      </c>
      <c r="AA78">
        <v>532</v>
      </c>
      <c r="AB78">
        <v>500</v>
      </c>
      <c r="AD78">
        <v>375</v>
      </c>
      <c r="AF78">
        <v>600</v>
      </c>
      <c r="AG78">
        <v>900</v>
      </c>
      <c r="AH78" t="s">
        <v>41</v>
      </c>
      <c r="AI78" t="s">
        <v>894</v>
      </c>
      <c r="AJ78" t="s">
        <v>41</v>
      </c>
      <c r="AK78">
        <v>1</v>
      </c>
      <c r="AL78" t="s">
        <v>1513</v>
      </c>
      <c r="AM78" t="s">
        <v>41</v>
      </c>
    </row>
    <row r="79" spans="1:39">
      <c r="A79" t="s">
        <v>828</v>
      </c>
      <c r="B79" t="s">
        <v>806</v>
      </c>
      <c r="C79">
        <v>2</v>
      </c>
      <c r="D79" t="s">
        <v>829</v>
      </c>
      <c r="E79" t="s">
        <v>112</v>
      </c>
      <c r="F79" t="s">
        <v>41</v>
      </c>
      <c r="G79" t="s">
        <v>830</v>
      </c>
      <c r="H79">
        <v>32</v>
      </c>
      <c r="I79">
        <v>330</v>
      </c>
      <c r="J79">
        <v>9500</v>
      </c>
      <c r="K79">
        <v>9650</v>
      </c>
      <c r="L79">
        <v>0</v>
      </c>
      <c r="M79">
        <v>0</v>
      </c>
      <c r="N79">
        <v>0</v>
      </c>
      <c r="O79">
        <v>56</v>
      </c>
      <c r="P79">
        <v>2350</v>
      </c>
      <c r="Q79" s="5">
        <f>unitlist3[[#This Row],[health]]/unitlist3[[#This Row],[buildtime]]</f>
        <v>0.24352331606217617</v>
      </c>
      <c r="R79" s="5">
        <f>unitlist3[[#This Row],[dps]]/unitlist3[[#This Row],[metalcost]]</f>
        <v>0.52727272727272723</v>
      </c>
      <c r="S79">
        <v>1</v>
      </c>
      <c r="AA79">
        <v>174</v>
      </c>
      <c r="AB79">
        <v>400</v>
      </c>
      <c r="AD79">
        <v>300</v>
      </c>
      <c r="AE79">
        <v>300</v>
      </c>
      <c r="AF79">
        <v>400</v>
      </c>
      <c r="AG79">
        <v>600</v>
      </c>
      <c r="AH79" t="s">
        <v>41</v>
      </c>
      <c r="AI79" t="s">
        <v>831</v>
      </c>
      <c r="AJ79" t="s">
        <v>41</v>
      </c>
      <c r="AK79">
        <v>1</v>
      </c>
      <c r="AL79" t="s">
        <v>1486</v>
      </c>
      <c r="AM79" t="s">
        <v>41</v>
      </c>
    </row>
    <row r="80" spans="1:39" hidden="1">
      <c r="A80" t="s">
        <v>922</v>
      </c>
      <c r="B80" t="s">
        <v>806</v>
      </c>
      <c r="C80">
        <v>2</v>
      </c>
      <c r="D80" t="s">
        <v>923</v>
      </c>
      <c r="E80" t="s">
        <v>344</v>
      </c>
      <c r="F80" t="s">
        <v>41</v>
      </c>
      <c r="G80" t="s">
        <v>345</v>
      </c>
      <c r="H80">
        <v>9</v>
      </c>
      <c r="I80">
        <v>890</v>
      </c>
      <c r="J80">
        <v>25000</v>
      </c>
      <c r="K80">
        <v>23100</v>
      </c>
      <c r="L80">
        <v>0</v>
      </c>
      <c r="M80">
        <v>0</v>
      </c>
      <c r="N80">
        <v>0</v>
      </c>
      <c r="O80">
        <v>0</v>
      </c>
      <c r="P80">
        <v>2000</v>
      </c>
      <c r="Q80" s="5">
        <f>unitlist3[[#This Row],[health]]/unitlist3[[#This Row],[buildtime]]</f>
        <v>8.6580086580086577E-2</v>
      </c>
      <c r="R80" s="5">
        <f>unitlist3[[#This Row],[dps]]/unitlist3[[#This Row],[metalcost]]</f>
        <v>0.52696629213483148</v>
      </c>
      <c r="Z80">
        <v>1</v>
      </c>
      <c r="AA80">
        <v>469</v>
      </c>
      <c r="AB80">
        <v>775</v>
      </c>
      <c r="AF80">
        <v>550</v>
      </c>
      <c r="AG80">
        <v>1000</v>
      </c>
      <c r="AH80" t="s">
        <v>41</v>
      </c>
      <c r="AI80" t="s">
        <v>124</v>
      </c>
      <c r="AJ80" t="s">
        <v>41</v>
      </c>
      <c r="AK80">
        <v>1</v>
      </c>
      <c r="AL80" t="s">
        <v>1524</v>
      </c>
      <c r="AM80" t="s">
        <v>41</v>
      </c>
    </row>
    <row r="81" spans="1:39" hidden="1">
      <c r="A81" t="s">
        <v>918</v>
      </c>
      <c r="B81" t="s">
        <v>806</v>
      </c>
      <c r="C81">
        <v>2</v>
      </c>
      <c r="D81" t="s">
        <v>919</v>
      </c>
      <c r="E81" t="s">
        <v>920</v>
      </c>
      <c r="F81" t="s">
        <v>41</v>
      </c>
      <c r="G81" t="s">
        <v>918</v>
      </c>
      <c r="H81">
        <v>119</v>
      </c>
      <c r="I81">
        <v>3000</v>
      </c>
      <c r="J81">
        <v>37000</v>
      </c>
      <c r="K81">
        <v>55200</v>
      </c>
      <c r="L81">
        <v>0</v>
      </c>
      <c r="M81">
        <v>0</v>
      </c>
      <c r="N81">
        <v>0</v>
      </c>
      <c r="O81">
        <v>0</v>
      </c>
      <c r="P81">
        <v>9400</v>
      </c>
      <c r="Q81" s="5">
        <f>unitlist3[[#This Row],[health]]/unitlist3[[#This Row],[buildtime]]</f>
        <v>0.17028985507246377</v>
      </c>
      <c r="R81" s="5">
        <f>unitlist3[[#This Row],[dps]]/unitlist3[[#This Row],[metalcost]]</f>
        <v>0.5043333333333333</v>
      </c>
      <c r="Z81">
        <v>1</v>
      </c>
      <c r="AA81">
        <v>1513</v>
      </c>
      <c r="AB81">
        <v>950</v>
      </c>
      <c r="AE81">
        <v>1200</v>
      </c>
      <c r="AF81">
        <v>780</v>
      </c>
      <c r="AG81">
        <v>1170</v>
      </c>
      <c r="AH81" t="s">
        <v>48</v>
      </c>
      <c r="AI81" t="s">
        <v>898</v>
      </c>
      <c r="AJ81" t="s">
        <v>41</v>
      </c>
      <c r="AK81">
        <v>1</v>
      </c>
      <c r="AL81" t="s">
        <v>1522</v>
      </c>
      <c r="AM81" t="s">
        <v>41</v>
      </c>
    </row>
    <row r="82" spans="1:39" hidden="1">
      <c r="A82" t="s">
        <v>100</v>
      </c>
      <c r="B82" t="s">
        <v>38</v>
      </c>
      <c r="C82">
        <v>2</v>
      </c>
      <c r="D82" t="s">
        <v>101</v>
      </c>
      <c r="E82" t="s">
        <v>102</v>
      </c>
      <c r="F82" t="s">
        <v>41</v>
      </c>
      <c r="G82" t="s">
        <v>103</v>
      </c>
      <c r="H82">
        <v>68</v>
      </c>
      <c r="I82">
        <v>1500</v>
      </c>
      <c r="J82">
        <v>38000</v>
      </c>
      <c r="K82">
        <v>60000</v>
      </c>
      <c r="L82">
        <v>0</v>
      </c>
      <c r="M82">
        <v>0</v>
      </c>
      <c r="N82">
        <v>0</v>
      </c>
      <c r="O82">
        <v>0</v>
      </c>
      <c r="P82">
        <v>3650</v>
      </c>
      <c r="Q82" s="5">
        <f>unitlist3[[#This Row],[health]]/unitlist3[[#This Row],[buildtime]]</f>
        <v>6.0833333333333336E-2</v>
      </c>
      <c r="R82" s="5">
        <f>unitlist3[[#This Row],[dps]]/unitlist3[[#This Row],[metalcost]]</f>
        <v>0.5</v>
      </c>
      <c r="Z82">
        <v>1</v>
      </c>
      <c r="AA82">
        <v>750</v>
      </c>
      <c r="AB82">
        <v>72000</v>
      </c>
      <c r="AE82">
        <v>50</v>
      </c>
      <c r="AF82">
        <v>201</v>
      </c>
      <c r="AG82">
        <v>302</v>
      </c>
      <c r="AH82" t="s">
        <v>41</v>
      </c>
      <c r="AI82" t="s">
        <v>104</v>
      </c>
      <c r="AJ82" t="s">
        <v>41</v>
      </c>
      <c r="AK82">
        <v>1</v>
      </c>
      <c r="AL82" t="s">
        <v>1285</v>
      </c>
      <c r="AM82" t="s">
        <v>41</v>
      </c>
    </row>
    <row r="83" spans="1:39" hidden="1">
      <c r="A83" t="s">
        <v>958</v>
      </c>
      <c r="B83" t="s">
        <v>806</v>
      </c>
      <c r="C83">
        <v>2</v>
      </c>
      <c r="D83" t="s">
        <v>959</v>
      </c>
      <c r="E83" t="s">
        <v>102</v>
      </c>
      <c r="F83" t="s">
        <v>41</v>
      </c>
      <c r="G83" t="s">
        <v>103</v>
      </c>
      <c r="H83">
        <v>38</v>
      </c>
      <c r="I83">
        <v>1500</v>
      </c>
      <c r="J83">
        <v>40000</v>
      </c>
      <c r="K83">
        <v>60000</v>
      </c>
      <c r="L83">
        <v>0</v>
      </c>
      <c r="M83">
        <v>0</v>
      </c>
      <c r="N83">
        <v>0</v>
      </c>
      <c r="O83">
        <v>0</v>
      </c>
      <c r="P83">
        <v>3650</v>
      </c>
      <c r="Q83" s="5">
        <f>unitlist3[[#This Row],[health]]/unitlist3[[#This Row],[buildtime]]</f>
        <v>6.0833333333333336E-2</v>
      </c>
      <c r="R83" s="5">
        <f>unitlist3[[#This Row],[dps]]/unitlist3[[#This Row],[metalcost]]</f>
        <v>0.5</v>
      </c>
      <c r="Z83">
        <v>1</v>
      </c>
      <c r="AA83">
        <v>750</v>
      </c>
      <c r="AB83">
        <v>72000</v>
      </c>
      <c r="AE83">
        <v>50</v>
      </c>
      <c r="AF83">
        <v>195</v>
      </c>
      <c r="AG83">
        <v>293</v>
      </c>
      <c r="AH83" t="s">
        <v>41</v>
      </c>
      <c r="AI83" t="s">
        <v>104</v>
      </c>
      <c r="AJ83" t="s">
        <v>41</v>
      </c>
      <c r="AK83">
        <v>1</v>
      </c>
      <c r="AL83" t="s">
        <v>1541</v>
      </c>
      <c r="AM83" t="s">
        <v>41</v>
      </c>
    </row>
    <row r="84" spans="1:39" hidden="1">
      <c r="A84" t="s">
        <v>346</v>
      </c>
      <c r="B84" t="s">
        <v>38</v>
      </c>
      <c r="C84">
        <v>1</v>
      </c>
      <c r="D84" t="s">
        <v>347</v>
      </c>
      <c r="E84" t="s">
        <v>348</v>
      </c>
      <c r="F84" t="s">
        <v>41</v>
      </c>
      <c r="G84" t="s">
        <v>349</v>
      </c>
      <c r="H84">
        <v>64</v>
      </c>
      <c r="I84">
        <v>470</v>
      </c>
      <c r="J84">
        <v>6200</v>
      </c>
      <c r="K84">
        <v>9670</v>
      </c>
      <c r="L84">
        <v>0</v>
      </c>
      <c r="M84">
        <v>0</v>
      </c>
      <c r="N84">
        <v>0</v>
      </c>
      <c r="O84">
        <v>0</v>
      </c>
      <c r="P84">
        <v>4250</v>
      </c>
      <c r="Q84" s="5">
        <f>unitlist3[[#This Row],[health]]/unitlist3[[#This Row],[buildtime]]</f>
        <v>0.43950361944157185</v>
      </c>
      <c r="R84" s="5">
        <f>unitlist3[[#This Row],[dps]]/unitlist3[[#This Row],[metalcost]]</f>
        <v>0.49574468085106382</v>
      </c>
      <c r="Z84">
        <v>1</v>
      </c>
      <c r="AA84">
        <v>233</v>
      </c>
      <c r="AB84">
        <v>630</v>
      </c>
      <c r="AF84">
        <v>630</v>
      </c>
      <c r="AG84">
        <v>945</v>
      </c>
      <c r="AH84" t="s">
        <v>41</v>
      </c>
      <c r="AI84" t="s">
        <v>128</v>
      </c>
      <c r="AJ84" t="s">
        <v>41</v>
      </c>
      <c r="AK84">
        <v>1</v>
      </c>
      <c r="AL84" t="s">
        <v>1346</v>
      </c>
      <c r="AM84" t="s">
        <v>41</v>
      </c>
    </row>
    <row r="85" spans="1:39">
      <c r="A85" t="s">
        <v>632</v>
      </c>
      <c r="B85" t="s">
        <v>38</v>
      </c>
      <c r="C85">
        <v>1</v>
      </c>
      <c r="D85" t="s">
        <v>633</v>
      </c>
      <c r="E85" t="s">
        <v>634</v>
      </c>
      <c r="F85" t="s">
        <v>41</v>
      </c>
      <c r="G85" t="s">
        <v>635</v>
      </c>
      <c r="H85">
        <v>18</v>
      </c>
      <c r="I85">
        <v>150</v>
      </c>
      <c r="J85">
        <v>2100</v>
      </c>
      <c r="K85">
        <v>3420</v>
      </c>
      <c r="L85">
        <v>0</v>
      </c>
      <c r="M85">
        <v>0</v>
      </c>
      <c r="N85">
        <v>0</v>
      </c>
      <c r="O85">
        <v>55</v>
      </c>
      <c r="P85">
        <v>820</v>
      </c>
      <c r="Q85" s="5">
        <f>unitlist3[[#This Row],[health]]/unitlist3[[#This Row],[buildtime]]</f>
        <v>0.23976608187134502</v>
      </c>
      <c r="R85" s="5">
        <f>unitlist3[[#This Row],[dps]]/unitlist3[[#This Row],[metalcost]]</f>
        <v>0.49333333333333335</v>
      </c>
      <c r="AA85">
        <v>74</v>
      </c>
      <c r="AB85">
        <v>700</v>
      </c>
      <c r="AF85">
        <v>620</v>
      </c>
      <c r="AG85">
        <v>900</v>
      </c>
      <c r="AH85" t="s">
        <v>41</v>
      </c>
      <c r="AI85" t="s">
        <v>443</v>
      </c>
      <c r="AJ85" t="s">
        <v>41</v>
      </c>
      <c r="AK85">
        <v>1</v>
      </c>
      <c r="AL85" t="s">
        <v>1425</v>
      </c>
      <c r="AM85" t="s">
        <v>41</v>
      </c>
    </row>
    <row r="86" spans="1:39" hidden="1">
      <c r="A86" t="s">
        <v>338</v>
      </c>
      <c r="B86" t="s">
        <v>38</v>
      </c>
      <c r="C86">
        <v>1</v>
      </c>
      <c r="D86" t="s">
        <v>339</v>
      </c>
      <c r="E86" t="s">
        <v>340</v>
      </c>
      <c r="F86" t="s">
        <v>41</v>
      </c>
      <c r="G86" t="s">
        <v>341</v>
      </c>
      <c r="H86">
        <v>21</v>
      </c>
      <c r="I86">
        <v>360</v>
      </c>
      <c r="J86">
        <v>5700</v>
      </c>
      <c r="K86">
        <v>5800</v>
      </c>
      <c r="L86">
        <v>0</v>
      </c>
      <c r="M86">
        <v>0</v>
      </c>
      <c r="N86">
        <v>0</v>
      </c>
      <c r="O86">
        <v>0</v>
      </c>
      <c r="P86">
        <v>1330</v>
      </c>
      <c r="Q86" s="5">
        <f>unitlist3[[#This Row],[health]]/unitlist3[[#This Row],[buildtime]]</f>
        <v>0.22931034482758619</v>
      </c>
      <c r="R86" s="5">
        <f>unitlist3[[#This Row],[dps]]/unitlist3[[#This Row],[metalcost]]</f>
        <v>0.48888888888888887</v>
      </c>
      <c r="Z86">
        <v>1</v>
      </c>
      <c r="AA86">
        <v>176</v>
      </c>
      <c r="AB86">
        <v>840</v>
      </c>
      <c r="AF86">
        <v>375</v>
      </c>
      <c r="AG86">
        <v>850</v>
      </c>
      <c r="AH86" t="s">
        <v>98</v>
      </c>
      <c r="AI86" t="s">
        <v>88</v>
      </c>
      <c r="AJ86" t="s">
        <v>41</v>
      </c>
      <c r="AK86">
        <v>1</v>
      </c>
      <c r="AL86" t="s">
        <v>1344</v>
      </c>
      <c r="AM86" t="s">
        <v>41</v>
      </c>
    </row>
    <row r="87" spans="1:39" hidden="1">
      <c r="A87" t="s">
        <v>425</v>
      </c>
      <c r="B87" t="s">
        <v>38</v>
      </c>
      <c r="C87">
        <v>1</v>
      </c>
      <c r="D87" t="s">
        <v>426</v>
      </c>
      <c r="E87" t="s">
        <v>427</v>
      </c>
      <c r="F87" t="s">
        <v>41</v>
      </c>
      <c r="G87" t="s">
        <v>428</v>
      </c>
      <c r="H87">
        <v>96</v>
      </c>
      <c r="I87">
        <v>440</v>
      </c>
      <c r="J87">
        <v>4700</v>
      </c>
      <c r="K87">
        <v>12500</v>
      </c>
      <c r="L87">
        <v>0</v>
      </c>
      <c r="M87">
        <v>0</v>
      </c>
      <c r="N87">
        <v>0</v>
      </c>
      <c r="O87">
        <v>0</v>
      </c>
      <c r="P87">
        <v>2600</v>
      </c>
      <c r="Q87" s="5">
        <f>unitlist3[[#This Row],[health]]/unitlist3[[#This Row],[buildtime]]</f>
        <v>0.20799999999999999</v>
      </c>
      <c r="R87" s="5">
        <f>unitlist3[[#This Row],[dps]]/unitlist3[[#This Row],[metalcost]]</f>
        <v>0.48863636363636365</v>
      </c>
      <c r="Z87">
        <v>1</v>
      </c>
      <c r="AA87">
        <v>215</v>
      </c>
      <c r="AB87">
        <v>620</v>
      </c>
      <c r="AF87">
        <v>494</v>
      </c>
      <c r="AG87">
        <v>741</v>
      </c>
      <c r="AH87" t="s">
        <v>41</v>
      </c>
      <c r="AI87" t="s">
        <v>128</v>
      </c>
      <c r="AJ87" t="s">
        <v>41</v>
      </c>
      <c r="AK87">
        <v>1</v>
      </c>
      <c r="AL87" t="s">
        <v>1366</v>
      </c>
      <c r="AM87" t="s">
        <v>41</v>
      </c>
    </row>
    <row r="88" spans="1:39" hidden="1">
      <c r="A88" t="s">
        <v>256</v>
      </c>
      <c r="B88" t="s">
        <v>38</v>
      </c>
      <c r="C88">
        <v>2</v>
      </c>
      <c r="D88" t="s">
        <v>257</v>
      </c>
      <c r="E88" t="s">
        <v>258</v>
      </c>
      <c r="F88" t="s">
        <v>41</v>
      </c>
      <c r="G88" t="s">
        <v>259</v>
      </c>
      <c r="H88">
        <v>35</v>
      </c>
      <c r="I88">
        <v>1000</v>
      </c>
      <c r="J88">
        <v>12000</v>
      </c>
      <c r="K88">
        <v>17000</v>
      </c>
      <c r="L88">
        <v>0</v>
      </c>
      <c r="M88">
        <v>0</v>
      </c>
      <c r="N88">
        <v>0</v>
      </c>
      <c r="O88">
        <v>60</v>
      </c>
      <c r="P88">
        <v>5600</v>
      </c>
      <c r="Q88" s="5">
        <f>unitlist3[[#This Row],[health]]/unitlist3[[#This Row],[buildtime]]</f>
        <v>0.32941176470588235</v>
      </c>
      <c r="R88" s="5">
        <f>unitlist3[[#This Row],[dps]]/unitlist3[[#This Row],[metalcost]]</f>
        <v>0.48199999999999998</v>
      </c>
      <c r="W88">
        <v>1</v>
      </c>
      <c r="AA88">
        <v>482</v>
      </c>
      <c r="AB88">
        <v>500</v>
      </c>
      <c r="AD88">
        <v>375</v>
      </c>
      <c r="AF88">
        <v>600</v>
      </c>
      <c r="AG88">
        <v>900</v>
      </c>
      <c r="AH88" t="s">
        <v>41</v>
      </c>
      <c r="AI88" t="s">
        <v>260</v>
      </c>
      <c r="AJ88" t="s">
        <v>41</v>
      </c>
      <c r="AK88">
        <v>1</v>
      </c>
      <c r="AL88" t="s">
        <v>1323</v>
      </c>
      <c r="AM88" t="s">
        <v>41</v>
      </c>
    </row>
    <row r="89" spans="1:39">
      <c r="A89" t="s">
        <v>1028</v>
      </c>
      <c r="B89" t="s">
        <v>806</v>
      </c>
      <c r="C89">
        <v>1</v>
      </c>
      <c r="D89" t="s">
        <v>1029</v>
      </c>
      <c r="E89" t="s">
        <v>1030</v>
      </c>
      <c r="F89" t="s">
        <v>41</v>
      </c>
      <c r="G89" t="s">
        <v>1031</v>
      </c>
      <c r="H89">
        <v>23</v>
      </c>
      <c r="I89">
        <v>220</v>
      </c>
      <c r="J89">
        <v>2600</v>
      </c>
      <c r="K89">
        <v>3000</v>
      </c>
      <c r="L89">
        <v>0</v>
      </c>
      <c r="M89">
        <v>0</v>
      </c>
      <c r="N89">
        <v>0</v>
      </c>
      <c r="O89">
        <v>41</v>
      </c>
      <c r="P89">
        <v>1490</v>
      </c>
      <c r="Q89" s="5">
        <f>unitlist3[[#This Row],[health]]/unitlist3[[#This Row],[buildtime]]</f>
        <v>0.49666666666666665</v>
      </c>
      <c r="R89" s="5">
        <f>unitlist3[[#This Row],[dps]]/unitlist3[[#This Row],[metalcost]]</f>
        <v>0.48181818181818181</v>
      </c>
      <c r="AA89">
        <v>106</v>
      </c>
      <c r="AB89">
        <v>315</v>
      </c>
      <c r="AF89">
        <v>286</v>
      </c>
      <c r="AG89">
        <v>429</v>
      </c>
      <c r="AH89" t="s">
        <v>41</v>
      </c>
      <c r="AI89" t="s">
        <v>124</v>
      </c>
      <c r="AJ89" t="s">
        <v>41</v>
      </c>
      <c r="AK89">
        <v>1</v>
      </c>
      <c r="AL89" t="s">
        <v>1574</v>
      </c>
      <c r="AM89" t="s">
        <v>41</v>
      </c>
    </row>
    <row r="90" spans="1:39" hidden="1">
      <c r="A90" t="s">
        <v>950</v>
      </c>
      <c r="B90" t="s">
        <v>806</v>
      </c>
      <c r="C90">
        <v>1</v>
      </c>
      <c r="D90" t="s">
        <v>951</v>
      </c>
      <c r="E90" t="s">
        <v>348</v>
      </c>
      <c r="F90" t="s">
        <v>41</v>
      </c>
      <c r="G90" t="s">
        <v>349</v>
      </c>
      <c r="H90">
        <v>39</v>
      </c>
      <c r="I90">
        <v>480</v>
      </c>
      <c r="J90">
        <v>6200</v>
      </c>
      <c r="K90">
        <v>11400</v>
      </c>
      <c r="L90">
        <v>0</v>
      </c>
      <c r="M90">
        <v>0</v>
      </c>
      <c r="N90">
        <v>0</v>
      </c>
      <c r="O90">
        <v>0</v>
      </c>
      <c r="P90">
        <v>4350</v>
      </c>
      <c r="Q90" s="5">
        <f>unitlist3[[#This Row],[health]]/unitlist3[[#This Row],[buildtime]]</f>
        <v>0.38157894736842107</v>
      </c>
      <c r="R90" s="5">
        <f>unitlist3[[#This Row],[dps]]/unitlist3[[#This Row],[metalcost]]</f>
        <v>0.48125000000000001</v>
      </c>
      <c r="Z90">
        <v>1</v>
      </c>
      <c r="AA90">
        <v>231</v>
      </c>
      <c r="AB90">
        <v>630</v>
      </c>
      <c r="AF90">
        <v>630</v>
      </c>
      <c r="AG90">
        <v>945</v>
      </c>
      <c r="AH90" t="s">
        <v>41</v>
      </c>
      <c r="AI90" t="s">
        <v>128</v>
      </c>
      <c r="AJ90" t="s">
        <v>41</v>
      </c>
      <c r="AK90">
        <v>1</v>
      </c>
      <c r="AL90" t="s">
        <v>1537</v>
      </c>
      <c r="AM90" t="s">
        <v>41</v>
      </c>
    </row>
    <row r="91" spans="1:39">
      <c r="A91" t="s">
        <v>355</v>
      </c>
      <c r="B91" t="s">
        <v>38</v>
      </c>
      <c r="C91">
        <v>2</v>
      </c>
      <c r="D91" t="s">
        <v>356</v>
      </c>
      <c r="E91" t="s">
        <v>357</v>
      </c>
      <c r="F91" t="s">
        <v>41</v>
      </c>
      <c r="G91" t="s">
        <v>358</v>
      </c>
      <c r="H91">
        <v>29</v>
      </c>
      <c r="I91">
        <v>300</v>
      </c>
      <c r="J91">
        <v>6300</v>
      </c>
      <c r="K91">
        <v>6230</v>
      </c>
      <c r="L91">
        <v>0</v>
      </c>
      <c r="M91">
        <v>0</v>
      </c>
      <c r="N91">
        <v>0</v>
      </c>
      <c r="O91">
        <v>69</v>
      </c>
      <c r="P91">
        <v>1280</v>
      </c>
      <c r="Q91" s="5">
        <f>unitlist3[[#This Row],[health]]/unitlist3[[#This Row],[buildtime]]</f>
        <v>0.20545746388443017</v>
      </c>
      <c r="R91" s="5">
        <f>unitlist3[[#This Row],[dps]]/unitlist3[[#This Row],[metalcost]]</f>
        <v>0.47666666666666668</v>
      </c>
      <c r="AA91">
        <v>143</v>
      </c>
      <c r="AB91">
        <v>650</v>
      </c>
      <c r="AF91">
        <v>400</v>
      </c>
      <c r="AG91">
        <v>600</v>
      </c>
      <c r="AH91" t="s">
        <v>41</v>
      </c>
      <c r="AI91" t="s">
        <v>99</v>
      </c>
      <c r="AJ91" t="s">
        <v>41</v>
      </c>
      <c r="AK91">
        <v>1</v>
      </c>
      <c r="AL91" t="s">
        <v>1348</v>
      </c>
      <c r="AM91" t="s">
        <v>41</v>
      </c>
    </row>
    <row r="92" spans="1:39">
      <c r="A92" t="s">
        <v>1057</v>
      </c>
      <c r="B92" t="s">
        <v>806</v>
      </c>
      <c r="C92">
        <v>1</v>
      </c>
      <c r="D92" t="s">
        <v>1058</v>
      </c>
      <c r="E92" t="s">
        <v>634</v>
      </c>
      <c r="F92" t="s">
        <v>41</v>
      </c>
      <c r="G92" t="s">
        <v>635</v>
      </c>
      <c r="H92">
        <v>25</v>
      </c>
      <c r="I92">
        <v>155</v>
      </c>
      <c r="J92">
        <v>2400</v>
      </c>
      <c r="K92">
        <v>3440</v>
      </c>
      <c r="L92">
        <v>0</v>
      </c>
      <c r="M92">
        <v>0</v>
      </c>
      <c r="N92">
        <v>0</v>
      </c>
      <c r="O92">
        <v>52</v>
      </c>
      <c r="P92">
        <v>860</v>
      </c>
      <c r="Q92" s="5">
        <f>unitlist3[[#This Row],[health]]/unitlist3[[#This Row],[buildtime]]</f>
        <v>0.25</v>
      </c>
      <c r="R92" s="5">
        <f>unitlist3[[#This Row],[dps]]/unitlist3[[#This Row],[metalcost]]</f>
        <v>0.47096774193548385</v>
      </c>
      <c r="AA92">
        <v>73</v>
      </c>
      <c r="AB92">
        <v>700</v>
      </c>
      <c r="AF92">
        <v>620</v>
      </c>
      <c r="AG92">
        <v>900</v>
      </c>
      <c r="AH92" t="s">
        <v>41</v>
      </c>
      <c r="AI92" t="s">
        <v>443</v>
      </c>
      <c r="AJ92" t="s">
        <v>41</v>
      </c>
      <c r="AK92">
        <v>1</v>
      </c>
      <c r="AL92" t="s">
        <v>1590</v>
      </c>
      <c r="AM92" t="s">
        <v>41</v>
      </c>
    </row>
    <row r="93" spans="1:39" hidden="1">
      <c r="A93" t="s">
        <v>465</v>
      </c>
      <c r="B93" t="s">
        <v>38</v>
      </c>
      <c r="C93">
        <v>2</v>
      </c>
      <c r="D93" t="s">
        <v>466</v>
      </c>
      <c r="E93" t="s">
        <v>467</v>
      </c>
      <c r="F93" t="s">
        <v>41</v>
      </c>
      <c r="G93" t="s">
        <v>468</v>
      </c>
      <c r="H93">
        <v>12</v>
      </c>
      <c r="I93">
        <v>400</v>
      </c>
      <c r="J93">
        <v>8000</v>
      </c>
      <c r="K93">
        <v>15100</v>
      </c>
      <c r="L93">
        <v>0</v>
      </c>
      <c r="M93">
        <v>0</v>
      </c>
      <c r="N93">
        <v>0</v>
      </c>
      <c r="O93">
        <v>285</v>
      </c>
      <c r="P93">
        <v>1920</v>
      </c>
      <c r="Q93" s="5">
        <f>unitlist3[[#This Row],[health]]/unitlist3[[#This Row],[buildtime]]</f>
        <v>0.1271523178807947</v>
      </c>
      <c r="R93" s="5">
        <f>unitlist3[[#This Row],[dps]]/unitlist3[[#This Row],[metalcost]]</f>
        <v>0.47</v>
      </c>
      <c r="U93">
        <v>1</v>
      </c>
      <c r="AA93">
        <v>188</v>
      </c>
      <c r="AB93">
        <v>400</v>
      </c>
      <c r="AD93">
        <v>800</v>
      </c>
      <c r="AE93">
        <v>800</v>
      </c>
      <c r="AF93">
        <v>500</v>
      </c>
      <c r="AG93">
        <v>750</v>
      </c>
      <c r="AH93" t="s">
        <v>41</v>
      </c>
      <c r="AI93" t="s">
        <v>168</v>
      </c>
      <c r="AJ93" t="s">
        <v>41</v>
      </c>
      <c r="AK93">
        <v>1</v>
      </c>
      <c r="AL93" t="s">
        <v>1380</v>
      </c>
      <c r="AM93" t="s">
        <v>41</v>
      </c>
    </row>
    <row r="94" spans="1:39">
      <c r="A94" t="s">
        <v>1113</v>
      </c>
      <c r="B94" t="s">
        <v>806</v>
      </c>
      <c r="C94">
        <v>2</v>
      </c>
      <c r="D94" t="s">
        <v>1114</v>
      </c>
      <c r="E94" t="s">
        <v>1115</v>
      </c>
      <c r="F94" t="s">
        <v>41</v>
      </c>
      <c r="G94" t="s">
        <v>1116</v>
      </c>
      <c r="H94">
        <v>19</v>
      </c>
      <c r="I94">
        <v>350</v>
      </c>
      <c r="J94">
        <v>7000</v>
      </c>
      <c r="K94">
        <v>7900</v>
      </c>
      <c r="L94">
        <v>0</v>
      </c>
      <c r="M94">
        <v>0</v>
      </c>
      <c r="N94">
        <v>0</v>
      </c>
      <c r="O94">
        <v>72</v>
      </c>
      <c r="P94">
        <v>2100</v>
      </c>
      <c r="Q94" s="5">
        <f>unitlist3[[#This Row],[health]]/unitlist3[[#This Row],[buildtime]]</f>
        <v>0.26582278481012656</v>
      </c>
      <c r="R94" s="5">
        <f>unitlist3[[#This Row],[dps]]/unitlist3[[#This Row],[metalcost]]</f>
        <v>0.46857142857142858</v>
      </c>
      <c r="S94">
        <v>1</v>
      </c>
      <c r="AA94">
        <v>164</v>
      </c>
      <c r="AB94">
        <v>340</v>
      </c>
      <c r="AD94">
        <v>299</v>
      </c>
      <c r="AF94">
        <v>385</v>
      </c>
      <c r="AG94">
        <v>578</v>
      </c>
      <c r="AH94" t="s">
        <v>41</v>
      </c>
      <c r="AI94" t="s">
        <v>128</v>
      </c>
      <c r="AJ94" t="s">
        <v>41</v>
      </c>
      <c r="AK94">
        <v>1</v>
      </c>
      <c r="AL94" t="s">
        <v>1617</v>
      </c>
      <c r="AM94" t="s">
        <v>41</v>
      </c>
    </row>
    <row r="95" spans="1:39" hidden="1">
      <c r="A95" t="s">
        <v>235</v>
      </c>
      <c r="B95" t="s">
        <v>38</v>
      </c>
      <c r="C95">
        <v>1</v>
      </c>
      <c r="D95" t="s">
        <v>236</v>
      </c>
      <c r="E95" t="s">
        <v>237</v>
      </c>
      <c r="F95" t="s">
        <v>41</v>
      </c>
      <c r="G95" t="s">
        <v>238</v>
      </c>
      <c r="H95">
        <v>18</v>
      </c>
      <c r="I95">
        <v>340</v>
      </c>
      <c r="J95">
        <v>1600</v>
      </c>
      <c r="K95">
        <v>4650</v>
      </c>
      <c r="L95">
        <v>0</v>
      </c>
      <c r="M95">
        <v>0</v>
      </c>
      <c r="N95">
        <v>0</v>
      </c>
      <c r="O95">
        <v>0</v>
      </c>
      <c r="P95">
        <v>1330</v>
      </c>
      <c r="Q95" s="5">
        <f>unitlist3[[#This Row],[health]]/unitlist3[[#This Row],[buildtime]]</f>
        <v>0.28602150537634408</v>
      </c>
      <c r="R95" s="5">
        <f>unitlist3[[#This Row],[dps]]/unitlist3[[#This Row],[metalcost]]</f>
        <v>0.46764705882352942</v>
      </c>
      <c r="Z95">
        <v>1</v>
      </c>
      <c r="AA95">
        <v>159</v>
      </c>
      <c r="AB95">
        <v>430</v>
      </c>
      <c r="AC95">
        <v>8</v>
      </c>
      <c r="AF95">
        <v>440</v>
      </c>
      <c r="AG95">
        <v>660</v>
      </c>
      <c r="AH95" t="s">
        <v>239</v>
      </c>
      <c r="AI95" t="s">
        <v>240</v>
      </c>
      <c r="AJ95" t="s">
        <v>41</v>
      </c>
      <c r="AK95">
        <v>1</v>
      </c>
      <c r="AL95" t="s">
        <v>1320</v>
      </c>
      <c r="AM95" t="s">
        <v>41</v>
      </c>
    </row>
    <row r="96" spans="1:39">
      <c r="A96" t="s">
        <v>416</v>
      </c>
      <c r="B96" t="s">
        <v>38</v>
      </c>
      <c r="C96">
        <v>1</v>
      </c>
      <c r="D96" t="s">
        <v>417</v>
      </c>
      <c r="E96" t="s">
        <v>418</v>
      </c>
      <c r="F96" t="s">
        <v>41</v>
      </c>
      <c r="G96" t="s">
        <v>419</v>
      </c>
      <c r="H96">
        <v>29</v>
      </c>
      <c r="I96">
        <v>130</v>
      </c>
      <c r="J96">
        <v>1300</v>
      </c>
      <c r="K96">
        <v>2200</v>
      </c>
      <c r="L96">
        <v>0</v>
      </c>
      <c r="M96">
        <v>0</v>
      </c>
      <c r="N96">
        <v>0</v>
      </c>
      <c r="O96">
        <v>46</v>
      </c>
      <c r="P96">
        <v>1000</v>
      </c>
      <c r="Q96" s="5">
        <f>unitlist3[[#This Row],[health]]/unitlist3[[#This Row],[buildtime]]</f>
        <v>0.45454545454545453</v>
      </c>
      <c r="R96" s="5">
        <f>unitlist3[[#This Row],[dps]]/unitlist3[[#This Row],[metalcost]]</f>
        <v>0.46153846153846156</v>
      </c>
      <c r="AA96">
        <v>60</v>
      </c>
      <c r="AB96">
        <v>380</v>
      </c>
      <c r="AF96">
        <v>380</v>
      </c>
      <c r="AG96">
        <v>570</v>
      </c>
      <c r="AH96" t="s">
        <v>41</v>
      </c>
      <c r="AI96" t="s">
        <v>124</v>
      </c>
      <c r="AJ96" t="s">
        <v>41</v>
      </c>
      <c r="AK96">
        <v>1</v>
      </c>
      <c r="AL96" t="s">
        <v>1364</v>
      </c>
      <c r="AM96" t="s">
        <v>41</v>
      </c>
    </row>
    <row r="97" spans="1:39" hidden="1">
      <c r="A97" t="s">
        <v>995</v>
      </c>
      <c r="B97" t="s">
        <v>806</v>
      </c>
      <c r="C97">
        <v>1</v>
      </c>
      <c r="D97" t="s">
        <v>996</v>
      </c>
      <c r="E97" t="s">
        <v>427</v>
      </c>
      <c r="F97" t="s">
        <v>41</v>
      </c>
      <c r="G97" t="s">
        <v>428</v>
      </c>
      <c r="H97">
        <v>93</v>
      </c>
      <c r="I97">
        <v>480</v>
      </c>
      <c r="J97">
        <v>4700</v>
      </c>
      <c r="K97">
        <v>12650</v>
      </c>
      <c r="L97">
        <v>0</v>
      </c>
      <c r="M97">
        <v>0</v>
      </c>
      <c r="N97">
        <v>0</v>
      </c>
      <c r="O97">
        <v>0</v>
      </c>
      <c r="P97">
        <v>2750</v>
      </c>
      <c r="Q97" s="5">
        <f>unitlist3[[#This Row],[health]]/unitlist3[[#This Row],[buildtime]]</f>
        <v>0.21739130434782608</v>
      </c>
      <c r="R97" s="5">
        <f>unitlist3[[#This Row],[dps]]/unitlist3[[#This Row],[metalcost]]</f>
        <v>0.45416666666666666</v>
      </c>
      <c r="Z97">
        <v>1</v>
      </c>
      <c r="AA97">
        <v>218</v>
      </c>
      <c r="AB97">
        <v>620</v>
      </c>
      <c r="AF97">
        <v>455</v>
      </c>
      <c r="AG97">
        <v>683</v>
      </c>
      <c r="AH97" t="s">
        <v>41</v>
      </c>
      <c r="AI97" t="s">
        <v>128</v>
      </c>
      <c r="AJ97" t="s">
        <v>41</v>
      </c>
      <c r="AK97">
        <v>1</v>
      </c>
      <c r="AL97" t="s">
        <v>1559</v>
      </c>
      <c r="AM97" t="s">
        <v>41</v>
      </c>
    </row>
    <row r="98" spans="1:39">
      <c r="A98" t="s">
        <v>494</v>
      </c>
      <c r="B98" t="s">
        <v>38</v>
      </c>
      <c r="C98">
        <v>2</v>
      </c>
      <c r="D98" t="s">
        <v>495</v>
      </c>
      <c r="E98" t="s">
        <v>496</v>
      </c>
      <c r="F98" t="s">
        <v>41</v>
      </c>
      <c r="G98" t="s">
        <v>497</v>
      </c>
      <c r="H98">
        <v>56</v>
      </c>
      <c r="I98">
        <v>1200</v>
      </c>
      <c r="J98">
        <v>13500</v>
      </c>
      <c r="K98">
        <v>25700</v>
      </c>
      <c r="L98">
        <v>0</v>
      </c>
      <c r="M98">
        <v>0</v>
      </c>
      <c r="N98">
        <v>0</v>
      </c>
      <c r="O98">
        <v>42</v>
      </c>
      <c r="P98">
        <v>2800</v>
      </c>
      <c r="Q98" s="5">
        <f>unitlist3[[#This Row],[health]]/unitlist3[[#This Row],[buildtime]]</f>
        <v>0.10894941634241245</v>
      </c>
      <c r="R98" s="5">
        <f>unitlist3[[#This Row],[dps]]/unitlist3[[#This Row],[metalcost]]</f>
        <v>0.44333333333333336</v>
      </c>
      <c r="AA98">
        <v>532</v>
      </c>
      <c r="AB98">
        <v>950</v>
      </c>
      <c r="AF98">
        <v>650</v>
      </c>
      <c r="AG98">
        <v>975</v>
      </c>
      <c r="AH98" t="s">
        <v>41</v>
      </c>
      <c r="AI98" t="s">
        <v>128</v>
      </c>
      <c r="AJ98" t="s">
        <v>41</v>
      </c>
      <c r="AK98">
        <v>1</v>
      </c>
      <c r="AL98" t="s">
        <v>1388</v>
      </c>
      <c r="AM98" t="s">
        <v>41</v>
      </c>
    </row>
    <row r="99" spans="1:39">
      <c r="A99" t="s">
        <v>444</v>
      </c>
      <c r="B99" t="s">
        <v>38</v>
      </c>
      <c r="C99">
        <v>1</v>
      </c>
      <c r="D99" t="s">
        <v>445</v>
      </c>
      <c r="E99" t="s">
        <v>446</v>
      </c>
      <c r="F99" t="s">
        <v>41</v>
      </c>
      <c r="G99" t="s">
        <v>447</v>
      </c>
      <c r="H99">
        <v>28</v>
      </c>
      <c r="I99">
        <v>125</v>
      </c>
      <c r="J99">
        <v>1100</v>
      </c>
      <c r="K99">
        <v>1830</v>
      </c>
      <c r="L99">
        <v>0</v>
      </c>
      <c r="M99">
        <v>0</v>
      </c>
      <c r="N99">
        <v>0</v>
      </c>
      <c r="O99">
        <v>56</v>
      </c>
      <c r="P99">
        <v>630</v>
      </c>
      <c r="Q99" s="5">
        <f>unitlist3[[#This Row],[health]]/unitlist3[[#This Row],[buildtime]]</f>
        <v>0.34426229508196721</v>
      </c>
      <c r="R99" s="5">
        <f>unitlist3[[#This Row],[dps]]/unitlist3[[#This Row],[metalcost]]</f>
        <v>0.44</v>
      </c>
      <c r="S99">
        <v>1</v>
      </c>
      <c r="AA99">
        <v>55</v>
      </c>
      <c r="AB99">
        <v>760</v>
      </c>
      <c r="AF99">
        <v>377</v>
      </c>
      <c r="AG99">
        <v>800</v>
      </c>
      <c r="AH99" t="s">
        <v>41</v>
      </c>
      <c r="AI99" t="s">
        <v>88</v>
      </c>
      <c r="AJ99" t="s">
        <v>41</v>
      </c>
      <c r="AK99">
        <v>1</v>
      </c>
      <c r="AL99" t="s">
        <v>1375</v>
      </c>
      <c r="AM99" t="s">
        <v>41</v>
      </c>
    </row>
    <row r="100" spans="1:39">
      <c r="A100" t="s">
        <v>889</v>
      </c>
      <c r="B100" t="s">
        <v>806</v>
      </c>
      <c r="C100">
        <v>1</v>
      </c>
      <c r="D100" t="s">
        <v>890</v>
      </c>
      <c r="E100" t="s">
        <v>446</v>
      </c>
      <c r="F100" t="s">
        <v>41</v>
      </c>
      <c r="G100" t="s">
        <v>447</v>
      </c>
      <c r="H100">
        <v>28</v>
      </c>
      <c r="I100">
        <v>125</v>
      </c>
      <c r="J100">
        <v>1100</v>
      </c>
      <c r="K100">
        <v>1900</v>
      </c>
      <c r="L100">
        <v>0</v>
      </c>
      <c r="M100">
        <v>0</v>
      </c>
      <c r="N100">
        <v>0</v>
      </c>
      <c r="O100">
        <v>53</v>
      </c>
      <c r="P100">
        <v>640</v>
      </c>
      <c r="Q100" s="5">
        <f>unitlist3[[#This Row],[health]]/unitlist3[[#This Row],[buildtime]]</f>
        <v>0.33684210526315789</v>
      </c>
      <c r="R100" s="5">
        <f>unitlist3[[#This Row],[dps]]/unitlist3[[#This Row],[metalcost]]</f>
        <v>0.44</v>
      </c>
      <c r="S100">
        <v>1</v>
      </c>
      <c r="AA100">
        <v>55</v>
      </c>
      <c r="AB100">
        <v>760</v>
      </c>
      <c r="AF100">
        <v>380</v>
      </c>
      <c r="AG100">
        <v>800</v>
      </c>
      <c r="AH100" t="s">
        <v>41</v>
      </c>
      <c r="AI100" t="s">
        <v>88</v>
      </c>
      <c r="AJ100" t="s">
        <v>41</v>
      </c>
      <c r="AK100">
        <v>1</v>
      </c>
      <c r="AL100" t="s">
        <v>1512</v>
      </c>
      <c r="AM100" t="s">
        <v>41</v>
      </c>
    </row>
    <row r="101" spans="1:39" hidden="1">
      <c r="A101" t="s">
        <v>50</v>
      </c>
      <c r="B101" t="s">
        <v>38</v>
      </c>
      <c r="C101">
        <v>2</v>
      </c>
      <c r="D101" t="s">
        <v>51</v>
      </c>
      <c r="E101" t="s">
        <v>52</v>
      </c>
      <c r="F101" t="s">
        <v>41</v>
      </c>
      <c r="G101" t="s">
        <v>53</v>
      </c>
      <c r="H101">
        <v>30</v>
      </c>
      <c r="I101">
        <v>1000</v>
      </c>
      <c r="J101">
        <v>12000</v>
      </c>
      <c r="K101">
        <v>15000</v>
      </c>
      <c r="L101">
        <v>0</v>
      </c>
      <c r="M101">
        <v>0</v>
      </c>
      <c r="N101">
        <v>0</v>
      </c>
      <c r="O101">
        <v>63</v>
      </c>
      <c r="P101">
        <v>3900</v>
      </c>
      <c r="Q101" s="5">
        <f>unitlist3[[#This Row],[health]]/unitlist3[[#This Row],[buildtime]]</f>
        <v>0.26</v>
      </c>
      <c r="R101" s="5">
        <f>unitlist3[[#This Row],[dps]]/unitlist3[[#This Row],[metalcost]]</f>
        <v>0.43</v>
      </c>
      <c r="W101">
        <v>1</v>
      </c>
      <c r="AA101">
        <v>430</v>
      </c>
      <c r="AB101">
        <v>840</v>
      </c>
      <c r="AF101">
        <v>475</v>
      </c>
      <c r="AG101">
        <v>900</v>
      </c>
      <c r="AH101" t="s">
        <v>41</v>
      </c>
      <c r="AI101" t="s">
        <v>54</v>
      </c>
      <c r="AJ101" t="s">
        <v>41</v>
      </c>
      <c r="AK101">
        <v>1</v>
      </c>
      <c r="AL101" t="s">
        <v>1274</v>
      </c>
      <c r="AM101" t="s">
        <v>41</v>
      </c>
    </row>
    <row r="102" spans="1:39" hidden="1">
      <c r="A102" t="s">
        <v>839</v>
      </c>
      <c r="B102" t="s">
        <v>806</v>
      </c>
      <c r="C102">
        <v>2</v>
      </c>
      <c r="D102" t="s">
        <v>840</v>
      </c>
      <c r="E102" t="s">
        <v>52</v>
      </c>
      <c r="F102" t="s">
        <v>41</v>
      </c>
      <c r="G102" t="s">
        <v>53</v>
      </c>
      <c r="H102">
        <v>30</v>
      </c>
      <c r="I102">
        <v>1000</v>
      </c>
      <c r="J102">
        <v>12000</v>
      </c>
      <c r="K102">
        <v>15000</v>
      </c>
      <c r="L102">
        <v>0</v>
      </c>
      <c r="M102">
        <v>0</v>
      </c>
      <c r="N102">
        <v>0</v>
      </c>
      <c r="O102">
        <v>60</v>
      </c>
      <c r="P102">
        <v>3900</v>
      </c>
      <c r="Q102" s="5">
        <f>unitlist3[[#This Row],[health]]/unitlist3[[#This Row],[buildtime]]</f>
        <v>0.26</v>
      </c>
      <c r="R102" s="5">
        <f>unitlist3[[#This Row],[dps]]/unitlist3[[#This Row],[metalcost]]</f>
        <v>0.42899999999999999</v>
      </c>
      <c r="W102">
        <v>1</v>
      </c>
      <c r="AA102">
        <v>429</v>
      </c>
      <c r="AB102">
        <v>870</v>
      </c>
      <c r="AF102">
        <v>465</v>
      </c>
      <c r="AG102">
        <v>900</v>
      </c>
      <c r="AH102" t="s">
        <v>41</v>
      </c>
      <c r="AI102" t="s">
        <v>54</v>
      </c>
      <c r="AJ102" t="s">
        <v>41</v>
      </c>
      <c r="AK102">
        <v>1</v>
      </c>
      <c r="AL102" t="s">
        <v>1494</v>
      </c>
      <c r="AM102" t="s">
        <v>41</v>
      </c>
    </row>
    <row r="103" spans="1:39">
      <c r="A103" t="s">
        <v>1179</v>
      </c>
      <c r="B103" t="s">
        <v>806</v>
      </c>
      <c r="C103">
        <v>1</v>
      </c>
      <c r="D103" t="s">
        <v>1180</v>
      </c>
      <c r="E103" t="s">
        <v>418</v>
      </c>
      <c r="F103" t="s">
        <v>41</v>
      </c>
      <c r="G103" t="s">
        <v>419</v>
      </c>
      <c r="H103">
        <v>32</v>
      </c>
      <c r="I103">
        <v>140</v>
      </c>
      <c r="J103">
        <v>1150</v>
      </c>
      <c r="K103">
        <v>2100</v>
      </c>
      <c r="L103">
        <v>0</v>
      </c>
      <c r="M103">
        <v>0</v>
      </c>
      <c r="N103">
        <v>0</v>
      </c>
      <c r="O103">
        <v>45</v>
      </c>
      <c r="P103">
        <v>1100</v>
      </c>
      <c r="Q103" s="5">
        <f>unitlist3[[#This Row],[health]]/unitlist3[[#This Row],[buildtime]]</f>
        <v>0.52380952380952384</v>
      </c>
      <c r="R103" s="5">
        <f>unitlist3[[#This Row],[dps]]/unitlist3[[#This Row],[metalcost]]</f>
        <v>0.42857142857142855</v>
      </c>
      <c r="AA103">
        <v>60</v>
      </c>
      <c r="AB103">
        <v>380</v>
      </c>
      <c r="AF103">
        <v>380</v>
      </c>
      <c r="AG103">
        <v>570</v>
      </c>
      <c r="AH103" t="s">
        <v>41</v>
      </c>
      <c r="AI103" t="s">
        <v>124</v>
      </c>
      <c r="AJ103" t="s">
        <v>41</v>
      </c>
      <c r="AK103">
        <v>1</v>
      </c>
      <c r="AL103" t="s">
        <v>1647</v>
      </c>
      <c r="AM103" t="s">
        <v>41</v>
      </c>
    </row>
    <row r="104" spans="1:39">
      <c r="A104" t="s">
        <v>37</v>
      </c>
      <c r="B104" t="s">
        <v>38</v>
      </c>
      <c r="C104">
        <v>2</v>
      </c>
      <c r="D104" t="s">
        <v>39</v>
      </c>
      <c r="E104" t="s">
        <v>40</v>
      </c>
      <c r="F104" t="s">
        <v>41</v>
      </c>
      <c r="G104" t="s">
        <v>42</v>
      </c>
      <c r="H104">
        <v>30</v>
      </c>
      <c r="I104">
        <v>520</v>
      </c>
      <c r="J104">
        <v>5600</v>
      </c>
      <c r="K104">
        <v>7000</v>
      </c>
      <c r="L104">
        <v>0</v>
      </c>
      <c r="M104">
        <v>0</v>
      </c>
      <c r="N104">
        <v>0</v>
      </c>
      <c r="O104">
        <v>47</v>
      </c>
      <c r="P104">
        <v>1130</v>
      </c>
      <c r="Q104" s="5">
        <f>unitlist3[[#This Row],[health]]/unitlist3[[#This Row],[buildtime]]</f>
        <v>0.16142857142857142</v>
      </c>
      <c r="R104" s="5">
        <f>unitlist3[[#This Row],[dps]]/unitlist3[[#This Row],[metalcost]]</f>
        <v>0.41346153846153844</v>
      </c>
      <c r="S104">
        <v>1</v>
      </c>
      <c r="AA104">
        <v>215</v>
      </c>
      <c r="AB104">
        <v>875</v>
      </c>
      <c r="AF104">
        <v>400</v>
      </c>
      <c r="AG104">
        <v>925</v>
      </c>
      <c r="AH104" t="s">
        <v>41</v>
      </c>
      <c r="AI104" t="s">
        <v>43</v>
      </c>
      <c r="AJ104" t="s">
        <v>41</v>
      </c>
      <c r="AK104">
        <v>1</v>
      </c>
      <c r="AL104" t="s">
        <v>1272</v>
      </c>
      <c r="AM104" t="s">
        <v>41</v>
      </c>
    </row>
    <row r="105" spans="1:39">
      <c r="A105" t="s">
        <v>510</v>
      </c>
      <c r="B105" t="s">
        <v>38</v>
      </c>
      <c r="C105">
        <v>2</v>
      </c>
      <c r="D105" t="s">
        <v>511</v>
      </c>
      <c r="E105" t="s">
        <v>512</v>
      </c>
      <c r="F105" t="s">
        <v>41</v>
      </c>
      <c r="G105" t="s">
        <v>513</v>
      </c>
      <c r="H105">
        <v>52</v>
      </c>
      <c r="I105">
        <v>650</v>
      </c>
      <c r="J105">
        <v>11000</v>
      </c>
      <c r="K105">
        <v>17000</v>
      </c>
      <c r="L105">
        <v>0</v>
      </c>
      <c r="M105">
        <v>0</v>
      </c>
      <c r="N105">
        <v>0</v>
      </c>
      <c r="O105">
        <v>50</v>
      </c>
      <c r="P105">
        <v>1560</v>
      </c>
      <c r="Q105" s="5">
        <f>unitlist3[[#This Row],[health]]/unitlist3[[#This Row],[buildtime]]</f>
        <v>9.1764705882352943E-2</v>
      </c>
      <c r="R105" s="5">
        <f>unitlist3[[#This Row],[dps]]/unitlist3[[#This Row],[metalcost]]</f>
        <v>0.40769230769230769</v>
      </c>
      <c r="AA105">
        <v>265</v>
      </c>
      <c r="AB105">
        <v>365</v>
      </c>
      <c r="AF105">
        <v>550</v>
      </c>
      <c r="AG105">
        <v>825</v>
      </c>
      <c r="AH105" t="s">
        <v>41</v>
      </c>
      <c r="AI105" t="s">
        <v>124</v>
      </c>
      <c r="AJ105" t="s">
        <v>41</v>
      </c>
      <c r="AK105">
        <v>1</v>
      </c>
      <c r="AL105" t="s">
        <v>1392</v>
      </c>
      <c r="AM105" t="s">
        <v>41</v>
      </c>
    </row>
    <row r="106" spans="1:39">
      <c r="A106" t="s">
        <v>703</v>
      </c>
      <c r="B106" t="s">
        <v>38</v>
      </c>
      <c r="C106">
        <v>2</v>
      </c>
      <c r="D106" t="s">
        <v>704</v>
      </c>
      <c r="E106" t="s">
        <v>705</v>
      </c>
      <c r="F106" t="s">
        <v>41</v>
      </c>
      <c r="G106" t="s">
        <v>706</v>
      </c>
      <c r="H106">
        <v>22</v>
      </c>
      <c r="I106">
        <v>400</v>
      </c>
      <c r="J106">
        <v>4500</v>
      </c>
      <c r="K106">
        <v>8800</v>
      </c>
      <c r="L106">
        <v>0</v>
      </c>
      <c r="M106">
        <v>0</v>
      </c>
      <c r="N106">
        <v>0</v>
      </c>
      <c r="O106">
        <v>52</v>
      </c>
      <c r="P106">
        <v>1390</v>
      </c>
      <c r="Q106" s="5">
        <f>unitlist3[[#This Row],[health]]/unitlist3[[#This Row],[buildtime]]</f>
        <v>0.15795454545454546</v>
      </c>
      <c r="R106" s="5">
        <f>unitlist3[[#This Row],[dps]]/unitlist3[[#This Row],[metalcost]]</f>
        <v>0.40250000000000002</v>
      </c>
      <c r="AA106">
        <v>161</v>
      </c>
      <c r="AB106">
        <v>600</v>
      </c>
      <c r="AF106">
        <v>440</v>
      </c>
      <c r="AG106">
        <v>660</v>
      </c>
      <c r="AH106" t="s">
        <v>41</v>
      </c>
      <c r="AI106" t="s">
        <v>88</v>
      </c>
      <c r="AJ106" t="s">
        <v>41</v>
      </c>
      <c r="AK106">
        <v>1</v>
      </c>
      <c r="AL106" t="s">
        <v>1443</v>
      </c>
      <c r="AM106" t="s">
        <v>41</v>
      </c>
    </row>
    <row r="107" spans="1:39" hidden="1">
      <c r="A107" t="s">
        <v>1088</v>
      </c>
      <c r="B107" t="s">
        <v>806</v>
      </c>
      <c r="C107">
        <v>1</v>
      </c>
      <c r="D107" t="s">
        <v>1089</v>
      </c>
      <c r="E107" t="s">
        <v>1090</v>
      </c>
      <c r="F107" t="s">
        <v>41</v>
      </c>
      <c r="G107" t="s">
        <v>20</v>
      </c>
      <c r="H107">
        <v>13</v>
      </c>
      <c r="I107">
        <v>210</v>
      </c>
      <c r="J107">
        <v>1400</v>
      </c>
      <c r="K107">
        <v>2500</v>
      </c>
      <c r="L107">
        <v>0</v>
      </c>
      <c r="M107">
        <v>0</v>
      </c>
      <c r="N107">
        <v>0</v>
      </c>
      <c r="O107">
        <v>69</v>
      </c>
      <c r="P107">
        <v>890</v>
      </c>
      <c r="Q107" s="5">
        <f>unitlist3[[#This Row],[health]]/unitlist3[[#This Row],[buildtime]]</f>
        <v>0.35599999999999998</v>
      </c>
      <c r="R107" s="5">
        <f>unitlist3[[#This Row],[dps]]/unitlist3[[#This Row],[metalcost]]</f>
        <v>0.4</v>
      </c>
      <c r="W107">
        <v>1</v>
      </c>
      <c r="AA107">
        <v>84</v>
      </c>
      <c r="AB107">
        <v>750</v>
      </c>
      <c r="AD107">
        <v>400</v>
      </c>
      <c r="AE107">
        <v>1000</v>
      </c>
      <c r="AF107">
        <v>670</v>
      </c>
      <c r="AG107">
        <v>800</v>
      </c>
      <c r="AH107" t="s">
        <v>48</v>
      </c>
      <c r="AI107" t="s">
        <v>443</v>
      </c>
      <c r="AJ107" t="s">
        <v>41</v>
      </c>
      <c r="AK107">
        <v>1</v>
      </c>
      <c r="AL107" t="s">
        <v>1607</v>
      </c>
      <c r="AM107" t="s">
        <v>41</v>
      </c>
    </row>
    <row r="108" spans="1:39" hidden="1">
      <c r="A108" t="s">
        <v>649</v>
      </c>
      <c r="B108" t="s">
        <v>38</v>
      </c>
      <c r="C108">
        <v>1</v>
      </c>
      <c r="D108" t="s">
        <v>650</v>
      </c>
      <c r="E108" t="s">
        <v>651</v>
      </c>
      <c r="F108" t="s">
        <v>41</v>
      </c>
      <c r="G108" t="s">
        <v>652</v>
      </c>
      <c r="H108">
        <v>19</v>
      </c>
      <c r="I108">
        <v>290</v>
      </c>
      <c r="J108">
        <v>6500</v>
      </c>
      <c r="K108">
        <v>14800</v>
      </c>
      <c r="L108">
        <v>0</v>
      </c>
      <c r="M108">
        <v>0</v>
      </c>
      <c r="N108">
        <v>0</v>
      </c>
      <c r="O108">
        <v>271</v>
      </c>
      <c r="P108">
        <v>1380</v>
      </c>
      <c r="Q108" s="5">
        <f>unitlist3[[#This Row],[health]]/unitlist3[[#This Row],[buildtime]]</f>
        <v>9.3243243243243248E-2</v>
      </c>
      <c r="R108" s="5">
        <f>unitlist3[[#This Row],[dps]]/unitlist3[[#This Row],[metalcost]]</f>
        <v>0.39310344827586208</v>
      </c>
      <c r="S108">
        <v>1</v>
      </c>
      <c r="U108">
        <v>1</v>
      </c>
      <c r="AA108">
        <v>114</v>
      </c>
      <c r="AB108">
        <v>600</v>
      </c>
      <c r="AD108">
        <v>535</v>
      </c>
      <c r="AF108">
        <v>535</v>
      </c>
      <c r="AG108">
        <v>803</v>
      </c>
      <c r="AH108" t="s">
        <v>41</v>
      </c>
      <c r="AI108" t="s">
        <v>168</v>
      </c>
      <c r="AJ108" t="s">
        <v>41</v>
      </c>
      <c r="AK108">
        <v>1</v>
      </c>
      <c r="AL108" t="s">
        <v>1429</v>
      </c>
      <c r="AM108" t="s">
        <v>41</v>
      </c>
    </row>
    <row r="109" spans="1:39">
      <c r="A109" t="s">
        <v>910</v>
      </c>
      <c r="B109" t="s">
        <v>806</v>
      </c>
      <c r="C109">
        <v>2</v>
      </c>
      <c r="D109" t="s">
        <v>243</v>
      </c>
      <c r="E109" t="s">
        <v>278</v>
      </c>
      <c r="F109" t="s">
        <v>41</v>
      </c>
      <c r="G109" t="s">
        <v>885</v>
      </c>
      <c r="H109">
        <v>64</v>
      </c>
      <c r="I109">
        <v>750</v>
      </c>
      <c r="J109">
        <v>13000</v>
      </c>
      <c r="K109">
        <v>27000</v>
      </c>
      <c r="L109">
        <v>0</v>
      </c>
      <c r="M109">
        <v>15</v>
      </c>
      <c r="N109">
        <v>300</v>
      </c>
      <c r="O109">
        <v>38</v>
      </c>
      <c r="P109">
        <v>3700</v>
      </c>
      <c r="Q109" s="5">
        <f>unitlist3[[#This Row],[health]]/unitlist3[[#This Row],[buildtime]]</f>
        <v>0.13703703703703704</v>
      </c>
      <c r="R109" s="5">
        <f>unitlist3[[#This Row],[dps]]/unitlist3[[#This Row],[metalcost]]</f>
        <v>0.39200000000000002</v>
      </c>
      <c r="S109">
        <v>1</v>
      </c>
      <c r="AA109">
        <v>294</v>
      </c>
      <c r="AB109">
        <v>300</v>
      </c>
      <c r="AD109">
        <v>450</v>
      </c>
      <c r="AE109">
        <v>700</v>
      </c>
      <c r="AF109">
        <v>450</v>
      </c>
      <c r="AG109">
        <v>675</v>
      </c>
      <c r="AH109" t="s">
        <v>244</v>
      </c>
      <c r="AI109" t="s">
        <v>245</v>
      </c>
      <c r="AJ109" t="s">
        <v>911</v>
      </c>
      <c r="AK109">
        <v>1</v>
      </c>
      <c r="AL109" t="s">
        <v>1519</v>
      </c>
      <c r="AM109" t="s">
        <v>41</v>
      </c>
    </row>
    <row r="110" spans="1:39">
      <c r="A110" t="s">
        <v>498</v>
      </c>
      <c r="B110" t="s">
        <v>38</v>
      </c>
      <c r="C110">
        <v>3</v>
      </c>
      <c r="D110" t="s">
        <v>499</v>
      </c>
      <c r="E110" t="s">
        <v>500</v>
      </c>
      <c r="F110" t="s">
        <v>41</v>
      </c>
      <c r="G110" t="s">
        <v>501</v>
      </c>
      <c r="H110">
        <v>56</v>
      </c>
      <c r="I110">
        <v>970</v>
      </c>
      <c r="J110">
        <v>21000</v>
      </c>
      <c r="K110">
        <v>26100</v>
      </c>
      <c r="L110">
        <v>0</v>
      </c>
      <c r="M110">
        <v>0</v>
      </c>
      <c r="N110">
        <v>0</v>
      </c>
      <c r="O110">
        <v>95</v>
      </c>
      <c r="P110">
        <v>4900</v>
      </c>
      <c r="Q110" s="5">
        <f>unitlist3[[#This Row],[health]]/unitlist3[[#This Row],[buildtime]]</f>
        <v>0.18773946360153257</v>
      </c>
      <c r="R110" s="5">
        <f>unitlist3[[#This Row],[dps]]/unitlist3[[#This Row],[metalcost]]</f>
        <v>0.39072164948453608</v>
      </c>
      <c r="S110">
        <v>1</v>
      </c>
      <c r="AA110">
        <v>379</v>
      </c>
      <c r="AB110">
        <v>600</v>
      </c>
      <c r="AF110">
        <v>455</v>
      </c>
      <c r="AG110">
        <v>683</v>
      </c>
      <c r="AH110" t="s">
        <v>41</v>
      </c>
      <c r="AI110" t="s">
        <v>54</v>
      </c>
      <c r="AJ110" t="s">
        <v>41</v>
      </c>
      <c r="AK110">
        <v>1</v>
      </c>
      <c r="AL110" t="s">
        <v>1389</v>
      </c>
      <c r="AM110" t="s">
        <v>41</v>
      </c>
    </row>
    <row r="111" spans="1:39">
      <c r="A111" t="s">
        <v>574</v>
      </c>
      <c r="B111" t="s">
        <v>38</v>
      </c>
      <c r="C111">
        <v>1</v>
      </c>
      <c r="D111" t="s">
        <v>575</v>
      </c>
      <c r="E111" t="s">
        <v>576</v>
      </c>
      <c r="F111" t="s">
        <v>41</v>
      </c>
      <c r="G111" t="s">
        <v>577</v>
      </c>
      <c r="H111">
        <v>22</v>
      </c>
      <c r="I111">
        <v>200</v>
      </c>
      <c r="J111">
        <v>2000</v>
      </c>
      <c r="K111">
        <v>2610</v>
      </c>
      <c r="L111">
        <v>0</v>
      </c>
      <c r="M111">
        <v>0</v>
      </c>
      <c r="N111">
        <v>0</v>
      </c>
      <c r="O111">
        <v>63</v>
      </c>
      <c r="P111">
        <v>1340</v>
      </c>
      <c r="Q111" s="5">
        <f>unitlist3[[#This Row],[health]]/unitlist3[[#This Row],[buildtime]]</f>
        <v>0.51340996168582376</v>
      </c>
      <c r="R111" s="5">
        <f>unitlist3[[#This Row],[dps]]/unitlist3[[#This Row],[metalcost]]</f>
        <v>0.38500000000000001</v>
      </c>
      <c r="S111">
        <v>1</v>
      </c>
      <c r="AA111">
        <v>77</v>
      </c>
      <c r="AB111">
        <v>305</v>
      </c>
      <c r="AD111">
        <v>180</v>
      </c>
      <c r="AF111">
        <v>305</v>
      </c>
      <c r="AG111">
        <v>458</v>
      </c>
      <c r="AH111" t="s">
        <v>41</v>
      </c>
      <c r="AI111" t="s">
        <v>124</v>
      </c>
      <c r="AJ111" t="s">
        <v>41</v>
      </c>
      <c r="AK111">
        <v>1</v>
      </c>
      <c r="AL111" t="s">
        <v>1411</v>
      </c>
      <c r="AM111" t="s">
        <v>41</v>
      </c>
    </row>
    <row r="112" spans="1:39">
      <c r="A112" t="s">
        <v>805</v>
      </c>
      <c r="B112" t="s">
        <v>806</v>
      </c>
      <c r="C112">
        <v>2</v>
      </c>
      <c r="D112" t="s">
        <v>807</v>
      </c>
      <c r="E112" t="s">
        <v>808</v>
      </c>
      <c r="F112" t="s">
        <v>41</v>
      </c>
      <c r="G112" t="s">
        <v>42</v>
      </c>
      <c r="H112">
        <v>31</v>
      </c>
      <c r="I112">
        <v>650</v>
      </c>
      <c r="J112">
        <v>6200</v>
      </c>
      <c r="K112">
        <v>7600</v>
      </c>
      <c r="L112">
        <v>0</v>
      </c>
      <c r="M112">
        <v>0</v>
      </c>
      <c r="N112">
        <v>0</v>
      </c>
      <c r="O112">
        <v>35</v>
      </c>
      <c r="P112">
        <v>1420</v>
      </c>
      <c r="Q112" s="5">
        <f>unitlist3[[#This Row],[health]]/unitlist3[[#This Row],[buildtime]]</f>
        <v>0.18684210526315789</v>
      </c>
      <c r="R112" s="5">
        <f>unitlist3[[#This Row],[dps]]/unitlist3[[#This Row],[metalcost]]</f>
        <v>0.38307692307692309</v>
      </c>
      <c r="S112">
        <v>1</v>
      </c>
      <c r="AA112">
        <v>249</v>
      </c>
      <c r="AB112">
        <v>850</v>
      </c>
      <c r="AF112">
        <v>390</v>
      </c>
      <c r="AG112">
        <v>925</v>
      </c>
      <c r="AH112" t="s">
        <v>41</v>
      </c>
      <c r="AI112" t="s">
        <v>809</v>
      </c>
      <c r="AJ112" t="s">
        <v>41</v>
      </c>
      <c r="AK112">
        <v>1</v>
      </c>
      <c r="AL112" t="s">
        <v>1473</v>
      </c>
      <c r="AM112" t="s">
        <v>41</v>
      </c>
    </row>
    <row r="113" spans="1:39">
      <c r="A113" t="s">
        <v>408</v>
      </c>
      <c r="B113" t="s">
        <v>38</v>
      </c>
      <c r="C113">
        <v>2</v>
      </c>
      <c r="D113" t="s">
        <v>409</v>
      </c>
      <c r="E113" t="s">
        <v>410</v>
      </c>
      <c r="F113" t="s">
        <v>41</v>
      </c>
      <c r="G113" t="s">
        <v>411</v>
      </c>
      <c r="H113">
        <v>18</v>
      </c>
      <c r="I113">
        <v>230</v>
      </c>
      <c r="J113">
        <v>3700</v>
      </c>
      <c r="K113">
        <v>6700</v>
      </c>
      <c r="L113">
        <v>0</v>
      </c>
      <c r="M113">
        <v>0</v>
      </c>
      <c r="N113">
        <v>0</v>
      </c>
      <c r="O113">
        <v>71</v>
      </c>
      <c r="P113">
        <v>1060</v>
      </c>
      <c r="Q113" s="5">
        <f>unitlist3[[#This Row],[health]]/unitlist3[[#This Row],[buildtime]]</f>
        <v>0.15820895522388059</v>
      </c>
      <c r="R113" s="5">
        <f>unitlist3[[#This Row],[dps]]/unitlist3[[#This Row],[metalcost]]</f>
        <v>0.38260869565217392</v>
      </c>
      <c r="AA113">
        <v>88</v>
      </c>
      <c r="AB113">
        <v>220</v>
      </c>
      <c r="AF113">
        <v>494</v>
      </c>
      <c r="AG113">
        <v>741</v>
      </c>
      <c r="AH113" t="s">
        <v>109</v>
      </c>
      <c r="AI113" t="s">
        <v>124</v>
      </c>
      <c r="AJ113" t="s">
        <v>41</v>
      </c>
      <c r="AK113">
        <v>1</v>
      </c>
      <c r="AL113" t="s">
        <v>1362</v>
      </c>
      <c r="AM113" t="s">
        <v>41</v>
      </c>
    </row>
    <row r="114" spans="1:39">
      <c r="A114" t="s">
        <v>277</v>
      </c>
      <c r="B114" t="s">
        <v>38</v>
      </c>
      <c r="C114">
        <v>2</v>
      </c>
      <c r="D114" t="s">
        <v>243</v>
      </c>
      <c r="E114" t="s">
        <v>278</v>
      </c>
      <c r="F114" t="s">
        <v>41</v>
      </c>
      <c r="G114" t="s">
        <v>241</v>
      </c>
      <c r="H114">
        <v>64</v>
      </c>
      <c r="I114">
        <v>770</v>
      </c>
      <c r="J114">
        <v>12000</v>
      </c>
      <c r="K114">
        <v>24000</v>
      </c>
      <c r="L114">
        <v>0</v>
      </c>
      <c r="M114">
        <v>15</v>
      </c>
      <c r="N114">
        <v>300</v>
      </c>
      <c r="O114">
        <v>38</v>
      </c>
      <c r="P114">
        <v>3700</v>
      </c>
      <c r="Q114" s="5">
        <f>unitlist3[[#This Row],[health]]/unitlist3[[#This Row],[buildtime]]</f>
        <v>0.15416666666666667</v>
      </c>
      <c r="R114" s="5">
        <f>unitlist3[[#This Row],[dps]]/unitlist3[[#This Row],[metalcost]]</f>
        <v>0.38181818181818183</v>
      </c>
      <c r="S114">
        <v>1</v>
      </c>
      <c r="AA114">
        <v>294</v>
      </c>
      <c r="AB114">
        <v>300</v>
      </c>
      <c r="AD114">
        <v>450</v>
      </c>
      <c r="AE114">
        <v>700</v>
      </c>
      <c r="AF114">
        <v>450</v>
      </c>
      <c r="AG114">
        <v>675</v>
      </c>
      <c r="AH114" t="s">
        <v>244</v>
      </c>
      <c r="AI114" t="s">
        <v>245</v>
      </c>
      <c r="AJ114" t="s">
        <v>279</v>
      </c>
      <c r="AK114">
        <v>1</v>
      </c>
      <c r="AL114" t="s">
        <v>1328</v>
      </c>
      <c r="AM114" t="s">
        <v>41</v>
      </c>
    </row>
    <row r="115" spans="1:39">
      <c r="A115" t="s">
        <v>1165</v>
      </c>
      <c r="B115" t="s">
        <v>806</v>
      </c>
      <c r="C115">
        <v>1</v>
      </c>
      <c r="D115" t="s">
        <v>1166</v>
      </c>
      <c r="E115" t="s">
        <v>622</v>
      </c>
      <c r="F115" t="s">
        <v>41</v>
      </c>
      <c r="G115" t="s">
        <v>623</v>
      </c>
      <c r="H115">
        <v>29</v>
      </c>
      <c r="I115">
        <v>110</v>
      </c>
      <c r="J115">
        <v>1150</v>
      </c>
      <c r="K115">
        <v>1950</v>
      </c>
      <c r="L115">
        <v>0</v>
      </c>
      <c r="M115">
        <v>0</v>
      </c>
      <c r="N115">
        <v>0</v>
      </c>
      <c r="O115">
        <v>48</v>
      </c>
      <c r="P115">
        <v>740</v>
      </c>
      <c r="Q115" s="5">
        <f>unitlist3[[#This Row],[health]]/unitlist3[[#This Row],[buildtime]]</f>
        <v>0.37948717948717947</v>
      </c>
      <c r="R115" s="5">
        <f>unitlist3[[#This Row],[dps]]/unitlist3[[#This Row],[metalcost]]</f>
        <v>0.37272727272727274</v>
      </c>
      <c r="AA115">
        <v>41</v>
      </c>
      <c r="AB115">
        <v>475</v>
      </c>
      <c r="AF115">
        <v>345</v>
      </c>
      <c r="AG115">
        <v>517</v>
      </c>
      <c r="AH115" t="s">
        <v>41</v>
      </c>
      <c r="AI115" t="s">
        <v>88</v>
      </c>
      <c r="AJ115" t="s">
        <v>41</v>
      </c>
      <c r="AK115">
        <v>1</v>
      </c>
      <c r="AL115" t="s">
        <v>1641</v>
      </c>
      <c r="AM115" t="s">
        <v>41</v>
      </c>
    </row>
    <row r="116" spans="1:39">
      <c r="A116" t="s">
        <v>84</v>
      </c>
      <c r="B116" t="s">
        <v>38</v>
      </c>
      <c r="C116">
        <v>1</v>
      </c>
      <c r="D116" t="s">
        <v>85</v>
      </c>
      <c r="E116" t="s">
        <v>86</v>
      </c>
      <c r="F116" t="s">
        <v>41</v>
      </c>
      <c r="G116" t="s">
        <v>87</v>
      </c>
      <c r="H116">
        <v>24</v>
      </c>
      <c r="I116">
        <v>230</v>
      </c>
      <c r="J116">
        <v>4500</v>
      </c>
      <c r="K116">
        <v>3560</v>
      </c>
      <c r="L116">
        <v>0</v>
      </c>
      <c r="M116">
        <v>0</v>
      </c>
      <c r="N116">
        <v>0</v>
      </c>
      <c r="O116">
        <v>89</v>
      </c>
      <c r="P116">
        <v>1070</v>
      </c>
      <c r="Q116" s="5">
        <f>unitlist3[[#This Row],[health]]/unitlist3[[#This Row],[buildtime]]</f>
        <v>0.300561797752809</v>
      </c>
      <c r="R116" s="5">
        <f>unitlist3[[#This Row],[dps]]/unitlist3[[#This Row],[metalcost]]</f>
        <v>0.36956521739130432</v>
      </c>
      <c r="V116">
        <v>1</v>
      </c>
      <c r="AA116">
        <v>85</v>
      </c>
      <c r="AB116">
        <v>700</v>
      </c>
      <c r="AD116">
        <v>350</v>
      </c>
      <c r="AF116">
        <v>509</v>
      </c>
      <c r="AG116">
        <v>800</v>
      </c>
      <c r="AH116" t="s">
        <v>41</v>
      </c>
      <c r="AI116" t="s">
        <v>88</v>
      </c>
      <c r="AJ116" t="s">
        <v>41</v>
      </c>
      <c r="AK116">
        <v>1</v>
      </c>
      <c r="AL116" t="s">
        <v>1282</v>
      </c>
      <c r="AM116" t="s">
        <v>41</v>
      </c>
    </row>
    <row r="117" spans="1:39">
      <c r="A117" t="s">
        <v>716</v>
      </c>
      <c r="B117" t="s">
        <v>38</v>
      </c>
      <c r="C117">
        <v>1</v>
      </c>
      <c r="D117" t="s">
        <v>717</v>
      </c>
      <c r="E117" t="s">
        <v>718</v>
      </c>
      <c r="F117" t="s">
        <v>41</v>
      </c>
      <c r="G117" t="s">
        <v>719</v>
      </c>
      <c r="H117">
        <v>23</v>
      </c>
      <c r="I117">
        <v>225</v>
      </c>
      <c r="J117">
        <v>2000</v>
      </c>
      <c r="K117">
        <v>2900</v>
      </c>
      <c r="L117">
        <v>0</v>
      </c>
      <c r="M117">
        <v>0</v>
      </c>
      <c r="N117">
        <v>0</v>
      </c>
      <c r="O117">
        <v>76</v>
      </c>
      <c r="P117">
        <v>1780</v>
      </c>
      <c r="Q117" s="5">
        <f>unitlist3[[#This Row],[health]]/unitlist3[[#This Row],[buildtime]]</f>
        <v>0.61379310344827587</v>
      </c>
      <c r="R117" s="5">
        <f>unitlist3[[#This Row],[dps]]/unitlist3[[#This Row],[metalcost]]</f>
        <v>0.36888888888888888</v>
      </c>
      <c r="AA117">
        <v>83</v>
      </c>
      <c r="AB117">
        <v>350</v>
      </c>
      <c r="AF117">
        <v>325</v>
      </c>
      <c r="AG117">
        <v>488</v>
      </c>
      <c r="AH117" t="s">
        <v>41</v>
      </c>
      <c r="AI117" t="s">
        <v>124</v>
      </c>
      <c r="AJ117" t="s">
        <v>41</v>
      </c>
      <c r="AK117">
        <v>1</v>
      </c>
      <c r="AL117" t="s">
        <v>1446</v>
      </c>
      <c r="AM117" t="s">
        <v>41</v>
      </c>
    </row>
    <row r="118" spans="1:39">
      <c r="A118" t="s">
        <v>801</v>
      </c>
      <c r="B118" t="s">
        <v>38</v>
      </c>
      <c r="C118">
        <v>2</v>
      </c>
      <c r="D118" t="s">
        <v>802</v>
      </c>
      <c r="E118" t="s">
        <v>803</v>
      </c>
      <c r="F118" t="s">
        <v>41</v>
      </c>
      <c r="G118" t="s">
        <v>804</v>
      </c>
      <c r="H118">
        <v>39</v>
      </c>
      <c r="I118">
        <v>350</v>
      </c>
      <c r="J118">
        <v>6100</v>
      </c>
      <c r="K118">
        <v>7250</v>
      </c>
      <c r="L118">
        <v>0</v>
      </c>
      <c r="M118">
        <v>0</v>
      </c>
      <c r="N118">
        <v>0</v>
      </c>
      <c r="O118">
        <v>47</v>
      </c>
      <c r="P118">
        <v>2950</v>
      </c>
      <c r="Q118" s="5">
        <f>unitlist3[[#This Row],[health]]/unitlist3[[#This Row],[buildtime]]</f>
        <v>0.40689655172413791</v>
      </c>
      <c r="R118" s="5">
        <f>unitlist3[[#This Row],[dps]]/unitlist3[[#This Row],[metalcost]]</f>
        <v>0.36857142857142855</v>
      </c>
      <c r="AA118">
        <v>129</v>
      </c>
      <c r="AB118">
        <v>280</v>
      </c>
      <c r="AF118">
        <v>332</v>
      </c>
      <c r="AG118">
        <v>497</v>
      </c>
      <c r="AH118" t="s">
        <v>41</v>
      </c>
      <c r="AI118" t="s">
        <v>240</v>
      </c>
      <c r="AJ118" t="s">
        <v>41</v>
      </c>
      <c r="AK118">
        <v>1</v>
      </c>
      <c r="AL118" t="s">
        <v>1472</v>
      </c>
      <c r="AM118" t="s">
        <v>41</v>
      </c>
    </row>
    <row r="119" spans="1:39">
      <c r="A119" t="s">
        <v>691</v>
      </c>
      <c r="B119" t="s">
        <v>38</v>
      </c>
      <c r="C119">
        <v>2</v>
      </c>
      <c r="D119" t="s">
        <v>692</v>
      </c>
      <c r="E119" t="s">
        <v>693</v>
      </c>
      <c r="F119" t="s">
        <v>41</v>
      </c>
      <c r="G119" t="s">
        <v>694</v>
      </c>
      <c r="H119">
        <v>42</v>
      </c>
      <c r="I119">
        <v>680</v>
      </c>
      <c r="J119">
        <v>20000</v>
      </c>
      <c r="K119">
        <v>19000</v>
      </c>
      <c r="L119">
        <v>0</v>
      </c>
      <c r="M119">
        <v>0</v>
      </c>
      <c r="N119">
        <v>0</v>
      </c>
      <c r="O119">
        <v>33</v>
      </c>
      <c r="P119">
        <v>580</v>
      </c>
      <c r="Q119" s="5">
        <f>unitlist3[[#This Row],[health]]/unitlist3[[#This Row],[buildtime]]</f>
        <v>3.0526315789473683E-2</v>
      </c>
      <c r="R119" s="5">
        <f>unitlist3[[#This Row],[dps]]/unitlist3[[#This Row],[metalcost]]</f>
        <v>0.36764705882352944</v>
      </c>
      <c r="AA119">
        <v>250</v>
      </c>
      <c r="AB119">
        <v>900</v>
      </c>
      <c r="AF119">
        <v>455</v>
      </c>
      <c r="AG119">
        <v>683</v>
      </c>
      <c r="AH119" t="s">
        <v>98</v>
      </c>
      <c r="AI119" t="s">
        <v>124</v>
      </c>
      <c r="AJ119" t="s">
        <v>41</v>
      </c>
      <c r="AK119">
        <v>1</v>
      </c>
      <c r="AL119" t="s">
        <v>1440</v>
      </c>
      <c r="AM119" t="s">
        <v>41</v>
      </c>
    </row>
    <row r="120" spans="1:39">
      <c r="A120" t="s">
        <v>439</v>
      </c>
      <c r="B120" t="s">
        <v>38</v>
      </c>
      <c r="C120">
        <v>1</v>
      </c>
      <c r="D120" t="s">
        <v>440</v>
      </c>
      <c r="E120" t="s">
        <v>441</v>
      </c>
      <c r="F120" t="s">
        <v>41</v>
      </c>
      <c r="G120" t="s">
        <v>442</v>
      </c>
      <c r="H120">
        <v>19</v>
      </c>
      <c r="I120">
        <v>240</v>
      </c>
      <c r="J120">
        <v>2600</v>
      </c>
      <c r="K120">
        <v>3550</v>
      </c>
      <c r="L120">
        <v>0</v>
      </c>
      <c r="M120">
        <v>0</v>
      </c>
      <c r="N120">
        <v>0</v>
      </c>
      <c r="O120">
        <v>54</v>
      </c>
      <c r="P120">
        <v>1030</v>
      </c>
      <c r="Q120" s="5">
        <f>unitlist3[[#This Row],[health]]/unitlist3[[#This Row],[buildtime]]</f>
        <v>0.29014084507042254</v>
      </c>
      <c r="R120" s="5">
        <f>unitlist3[[#This Row],[dps]]/unitlist3[[#This Row],[metalcost]]</f>
        <v>0.36666666666666664</v>
      </c>
      <c r="AA120">
        <v>88</v>
      </c>
      <c r="AB120">
        <v>380</v>
      </c>
      <c r="AF120">
        <v>325</v>
      </c>
      <c r="AG120">
        <v>488</v>
      </c>
      <c r="AH120" t="s">
        <v>41</v>
      </c>
      <c r="AI120" t="s">
        <v>443</v>
      </c>
      <c r="AJ120" t="s">
        <v>41</v>
      </c>
      <c r="AK120">
        <v>1</v>
      </c>
      <c r="AL120" t="s">
        <v>1374</v>
      </c>
      <c r="AM120" t="s">
        <v>41</v>
      </c>
    </row>
    <row r="121" spans="1:39" hidden="1">
      <c r="A121" t="s">
        <v>1182</v>
      </c>
      <c r="B121" t="s">
        <v>806</v>
      </c>
      <c r="C121">
        <v>2</v>
      </c>
      <c r="D121" t="s">
        <v>1183</v>
      </c>
      <c r="E121" t="s">
        <v>467</v>
      </c>
      <c r="F121" t="s">
        <v>41</v>
      </c>
      <c r="G121" t="s">
        <v>468</v>
      </c>
      <c r="H121">
        <v>14</v>
      </c>
      <c r="I121">
        <v>410</v>
      </c>
      <c r="J121">
        <v>8200</v>
      </c>
      <c r="K121">
        <v>14700</v>
      </c>
      <c r="L121">
        <v>0</v>
      </c>
      <c r="M121">
        <v>0</v>
      </c>
      <c r="N121">
        <v>0</v>
      </c>
      <c r="O121">
        <v>279</v>
      </c>
      <c r="P121">
        <v>1960</v>
      </c>
      <c r="Q121" s="5">
        <f>unitlist3[[#This Row],[health]]/unitlist3[[#This Row],[buildtime]]</f>
        <v>0.13333333333333333</v>
      </c>
      <c r="R121" s="5">
        <f>unitlist3[[#This Row],[dps]]/unitlist3[[#This Row],[metalcost]]</f>
        <v>0.36585365853658536</v>
      </c>
      <c r="U121">
        <v>1</v>
      </c>
      <c r="AA121">
        <v>150</v>
      </c>
      <c r="AB121">
        <v>400</v>
      </c>
      <c r="AD121">
        <v>800</v>
      </c>
      <c r="AE121">
        <v>800</v>
      </c>
      <c r="AF121">
        <v>500</v>
      </c>
      <c r="AG121">
        <v>750</v>
      </c>
      <c r="AH121" t="s">
        <v>41</v>
      </c>
      <c r="AI121" t="s">
        <v>168</v>
      </c>
      <c r="AJ121" t="s">
        <v>41</v>
      </c>
      <c r="AK121">
        <v>1</v>
      </c>
      <c r="AL121" t="s">
        <v>1649</v>
      </c>
      <c r="AM121" t="s">
        <v>41</v>
      </c>
    </row>
    <row r="122" spans="1:39" hidden="1">
      <c r="A122" t="s">
        <v>164</v>
      </c>
      <c r="B122" t="s">
        <v>38</v>
      </c>
      <c r="C122">
        <v>2</v>
      </c>
      <c r="D122" t="s">
        <v>165</v>
      </c>
      <c r="E122" t="s">
        <v>166</v>
      </c>
      <c r="F122" t="s">
        <v>41</v>
      </c>
      <c r="G122" t="s">
        <v>167</v>
      </c>
      <c r="H122">
        <v>15</v>
      </c>
      <c r="I122">
        <v>1000</v>
      </c>
      <c r="J122">
        <v>8500</v>
      </c>
      <c r="K122">
        <v>9260</v>
      </c>
      <c r="L122">
        <v>0</v>
      </c>
      <c r="M122">
        <v>0</v>
      </c>
      <c r="N122">
        <v>0</v>
      </c>
      <c r="O122">
        <v>0</v>
      </c>
      <c r="P122">
        <v>2800</v>
      </c>
      <c r="Q122" s="5">
        <f>unitlist3[[#This Row],[health]]/unitlist3[[#This Row],[buildtime]]</f>
        <v>0.30237580993520519</v>
      </c>
      <c r="R122" s="5">
        <f>unitlist3[[#This Row],[dps]]/unitlist3[[#This Row],[metalcost]]</f>
        <v>0.36</v>
      </c>
      <c r="Z122">
        <v>1</v>
      </c>
      <c r="AA122">
        <v>360</v>
      </c>
      <c r="AB122">
        <v>915</v>
      </c>
      <c r="AD122">
        <v>400</v>
      </c>
      <c r="AF122">
        <v>585</v>
      </c>
      <c r="AG122">
        <v>878</v>
      </c>
      <c r="AH122" t="s">
        <v>41</v>
      </c>
      <c r="AI122" t="s">
        <v>168</v>
      </c>
      <c r="AJ122" t="s">
        <v>41</v>
      </c>
      <c r="AK122">
        <v>1</v>
      </c>
      <c r="AL122" t="s">
        <v>1301</v>
      </c>
      <c r="AM122" t="s">
        <v>41</v>
      </c>
    </row>
    <row r="123" spans="1:39">
      <c r="A123" t="s">
        <v>1099</v>
      </c>
      <c r="B123" t="s">
        <v>806</v>
      </c>
      <c r="C123">
        <v>1</v>
      </c>
      <c r="D123" t="s">
        <v>1100</v>
      </c>
      <c r="E123" t="s">
        <v>718</v>
      </c>
      <c r="F123" t="s">
        <v>41</v>
      </c>
      <c r="G123" t="s">
        <v>719</v>
      </c>
      <c r="H123">
        <v>20</v>
      </c>
      <c r="I123">
        <v>235</v>
      </c>
      <c r="J123">
        <v>2400</v>
      </c>
      <c r="K123">
        <v>3310</v>
      </c>
      <c r="L123">
        <v>0</v>
      </c>
      <c r="M123">
        <v>0</v>
      </c>
      <c r="N123">
        <v>0</v>
      </c>
      <c r="O123">
        <v>73</v>
      </c>
      <c r="P123">
        <v>1970</v>
      </c>
      <c r="Q123" s="5">
        <f>unitlist3[[#This Row],[health]]/unitlist3[[#This Row],[buildtime]]</f>
        <v>0.595166163141994</v>
      </c>
      <c r="R123" s="5">
        <f>unitlist3[[#This Row],[dps]]/unitlist3[[#This Row],[metalcost]]</f>
        <v>0.35319148936170214</v>
      </c>
      <c r="AA123">
        <v>83</v>
      </c>
      <c r="AB123">
        <v>350</v>
      </c>
      <c r="AF123">
        <v>325</v>
      </c>
      <c r="AG123">
        <v>488</v>
      </c>
      <c r="AH123" t="s">
        <v>41</v>
      </c>
      <c r="AI123" t="s">
        <v>124</v>
      </c>
      <c r="AJ123" t="s">
        <v>41</v>
      </c>
      <c r="AK123">
        <v>1</v>
      </c>
      <c r="AL123" t="s">
        <v>1611</v>
      </c>
      <c r="AM123" t="s">
        <v>41</v>
      </c>
    </row>
    <row r="124" spans="1:39">
      <c r="A124" t="s">
        <v>976</v>
      </c>
      <c r="B124" t="s">
        <v>806</v>
      </c>
      <c r="C124">
        <v>1</v>
      </c>
      <c r="D124" t="s">
        <v>977</v>
      </c>
      <c r="E124" t="s">
        <v>576</v>
      </c>
      <c r="F124" t="s">
        <v>41</v>
      </c>
      <c r="G124" t="s">
        <v>577</v>
      </c>
      <c r="H124">
        <v>19</v>
      </c>
      <c r="I124">
        <v>220</v>
      </c>
      <c r="J124">
        <v>2600</v>
      </c>
      <c r="K124">
        <v>3100</v>
      </c>
      <c r="L124">
        <v>0</v>
      </c>
      <c r="M124">
        <v>0</v>
      </c>
      <c r="N124">
        <v>0</v>
      </c>
      <c r="O124">
        <v>59</v>
      </c>
      <c r="P124">
        <v>1420</v>
      </c>
      <c r="Q124" s="5">
        <f>unitlist3[[#This Row],[health]]/unitlist3[[#This Row],[buildtime]]</f>
        <v>0.45806451612903226</v>
      </c>
      <c r="R124" s="5">
        <f>unitlist3[[#This Row],[dps]]/unitlist3[[#This Row],[metalcost]]</f>
        <v>0.35</v>
      </c>
      <c r="S124">
        <v>1</v>
      </c>
      <c r="AA124">
        <v>77</v>
      </c>
      <c r="AB124">
        <v>305</v>
      </c>
      <c r="AD124">
        <v>175</v>
      </c>
      <c r="AF124">
        <v>305</v>
      </c>
      <c r="AG124">
        <v>458</v>
      </c>
      <c r="AH124" t="s">
        <v>41</v>
      </c>
      <c r="AI124" t="s">
        <v>124</v>
      </c>
      <c r="AJ124" t="s">
        <v>41</v>
      </c>
      <c r="AK124">
        <v>1</v>
      </c>
      <c r="AL124" t="s">
        <v>1552</v>
      </c>
      <c r="AM124" t="s">
        <v>41</v>
      </c>
    </row>
    <row r="125" spans="1:39" hidden="1">
      <c r="A125" t="s">
        <v>846</v>
      </c>
      <c r="B125" t="s">
        <v>806</v>
      </c>
      <c r="C125">
        <v>2</v>
      </c>
      <c r="D125" t="s">
        <v>847</v>
      </c>
      <c r="E125" t="s">
        <v>166</v>
      </c>
      <c r="F125" t="s">
        <v>41</v>
      </c>
      <c r="G125" t="s">
        <v>167</v>
      </c>
      <c r="H125">
        <v>19</v>
      </c>
      <c r="I125">
        <v>1050</v>
      </c>
      <c r="J125">
        <v>8500</v>
      </c>
      <c r="K125">
        <v>10900</v>
      </c>
      <c r="L125">
        <v>0</v>
      </c>
      <c r="M125">
        <v>0</v>
      </c>
      <c r="N125">
        <v>0</v>
      </c>
      <c r="O125">
        <v>0</v>
      </c>
      <c r="P125">
        <v>2800</v>
      </c>
      <c r="Q125" s="5">
        <f>unitlist3[[#This Row],[health]]/unitlist3[[#This Row],[buildtime]]</f>
        <v>0.25688073394495414</v>
      </c>
      <c r="R125" s="5">
        <f>unitlist3[[#This Row],[dps]]/unitlist3[[#This Row],[metalcost]]</f>
        <v>0.3457142857142857</v>
      </c>
      <c r="Z125">
        <v>1</v>
      </c>
      <c r="AA125">
        <v>363</v>
      </c>
      <c r="AB125">
        <v>890</v>
      </c>
      <c r="AD125">
        <v>400</v>
      </c>
      <c r="AF125">
        <v>585</v>
      </c>
      <c r="AG125">
        <v>878</v>
      </c>
      <c r="AH125" t="s">
        <v>41</v>
      </c>
      <c r="AI125" t="s">
        <v>168</v>
      </c>
      <c r="AJ125" t="s">
        <v>41</v>
      </c>
      <c r="AK125">
        <v>1</v>
      </c>
      <c r="AL125" t="s">
        <v>1498</v>
      </c>
      <c r="AM125" t="s">
        <v>41</v>
      </c>
    </row>
    <row r="126" spans="1:39" hidden="1">
      <c r="A126" t="s">
        <v>203</v>
      </c>
      <c r="B126" t="s">
        <v>38</v>
      </c>
      <c r="C126">
        <v>2</v>
      </c>
      <c r="D126" t="s">
        <v>204</v>
      </c>
      <c r="E126" t="s">
        <v>205</v>
      </c>
      <c r="F126" t="s">
        <v>41</v>
      </c>
      <c r="G126" t="s">
        <v>206</v>
      </c>
      <c r="H126">
        <v>13</v>
      </c>
      <c r="I126">
        <v>310</v>
      </c>
      <c r="J126">
        <v>6200</v>
      </c>
      <c r="K126">
        <v>13500</v>
      </c>
      <c r="L126">
        <v>0</v>
      </c>
      <c r="M126">
        <v>0</v>
      </c>
      <c r="N126">
        <v>0</v>
      </c>
      <c r="O126">
        <v>161</v>
      </c>
      <c r="P126">
        <v>1780</v>
      </c>
      <c r="Q126" s="5">
        <f>unitlist3[[#This Row],[health]]/unitlist3[[#This Row],[buildtime]]</f>
        <v>0.13185185185185186</v>
      </c>
      <c r="R126" s="5">
        <f>unitlist3[[#This Row],[dps]]/unitlist3[[#This Row],[metalcost]]</f>
        <v>0.34516129032258064</v>
      </c>
      <c r="U126">
        <v>1</v>
      </c>
      <c r="AA126">
        <v>107</v>
      </c>
      <c r="AB126">
        <v>380</v>
      </c>
      <c r="AF126">
        <v>550</v>
      </c>
      <c r="AG126">
        <v>825</v>
      </c>
      <c r="AH126" t="s">
        <v>41</v>
      </c>
      <c r="AI126" t="s">
        <v>124</v>
      </c>
      <c r="AJ126" t="s">
        <v>41</v>
      </c>
      <c r="AK126">
        <v>1</v>
      </c>
      <c r="AL126" t="s">
        <v>1312</v>
      </c>
      <c r="AM126" t="s">
        <v>41</v>
      </c>
    </row>
    <row r="127" spans="1:39">
      <c r="A127" t="s">
        <v>620</v>
      </c>
      <c r="B127" t="s">
        <v>38</v>
      </c>
      <c r="C127">
        <v>1</v>
      </c>
      <c r="D127" t="s">
        <v>621</v>
      </c>
      <c r="E127" t="s">
        <v>622</v>
      </c>
      <c r="F127" t="s">
        <v>41</v>
      </c>
      <c r="G127" t="s">
        <v>623</v>
      </c>
      <c r="H127">
        <v>28</v>
      </c>
      <c r="I127">
        <v>120</v>
      </c>
      <c r="J127">
        <v>1000</v>
      </c>
      <c r="K127">
        <v>2010</v>
      </c>
      <c r="L127">
        <v>0</v>
      </c>
      <c r="M127">
        <v>0</v>
      </c>
      <c r="N127">
        <v>0</v>
      </c>
      <c r="O127">
        <v>51</v>
      </c>
      <c r="P127">
        <v>720</v>
      </c>
      <c r="Q127" s="5">
        <f>unitlist3[[#This Row],[health]]/unitlist3[[#This Row],[buildtime]]</f>
        <v>0.35820895522388058</v>
      </c>
      <c r="R127" s="5">
        <f>unitlist3[[#This Row],[dps]]/unitlist3[[#This Row],[metalcost]]</f>
        <v>0.34166666666666667</v>
      </c>
      <c r="AA127">
        <v>41</v>
      </c>
      <c r="AB127">
        <v>475</v>
      </c>
      <c r="AF127">
        <v>338</v>
      </c>
      <c r="AG127">
        <v>507</v>
      </c>
      <c r="AH127" t="s">
        <v>41</v>
      </c>
      <c r="AI127" t="s">
        <v>88</v>
      </c>
      <c r="AJ127" t="s">
        <v>41</v>
      </c>
      <c r="AK127">
        <v>1</v>
      </c>
      <c r="AL127" t="s">
        <v>1422</v>
      </c>
      <c r="AM127" t="s">
        <v>41</v>
      </c>
    </row>
    <row r="128" spans="1:39">
      <c r="A128" t="s">
        <v>822</v>
      </c>
      <c r="B128" t="s">
        <v>806</v>
      </c>
      <c r="C128">
        <v>1</v>
      </c>
      <c r="D128" t="s">
        <v>823</v>
      </c>
      <c r="E128" t="s">
        <v>86</v>
      </c>
      <c r="F128" t="s">
        <v>41</v>
      </c>
      <c r="G128" t="s">
        <v>87</v>
      </c>
      <c r="H128">
        <v>22</v>
      </c>
      <c r="I128">
        <v>250</v>
      </c>
      <c r="J128">
        <v>4700</v>
      </c>
      <c r="K128">
        <v>3650</v>
      </c>
      <c r="L128">
        <v>0</v>
      </c>
      <c r="M128">
        <v>0</v>
      </c>
      <c r="N128">
        <v>0</v>
      </c>
      <c r="O128">
        <v>89</v>
      </c>
      <c r="P128">
        <v>1120</v>
      </c>
      <c r="Q128" s="5">
        <f>unitlist3[[#This Row],[health]]/unitlist3[[#This Row],[buildtime]]</f>
        <v>0.30684931506849317</v>
      </c>
      <c r="R128" s="5">
        <f>unitlist3[[#This Row],[dps]]/unitlist3[[#This Row],[metalcost]]</f>
        <v>0.34</v>
      </c>
      <c r="V128">
        <v>1</v>
      </c>
      <c r="AA128">
        <v>85</v>
      </c>
      <c r="AB128">
        <v>700</v>
      </c>
      <c r="AD128">
        <v>350</v>
      </c>
      <c r="AF128">
        <v>509</v>
      </c>
      <c r="AG128">
        <v>800</v>
      </c>
      <c r="AH128" t="s">
        <v>41</v>
      </c>
      <c r="AI128" t="s">
        <v>88</v>
      </c>
      <c r="AJ128" t="s">
        <v>41</v>
      </c>
      <c r="AK128">
        <v>1</v>
      </c>
      <c r="AL128" t="s">
        <v>1483</v>
      </c>
      <c r="AM128" t="s">
        <v>41</v>
      </c>
    </row>
    <row r="129" spans="1:39">
      <c r="A129" t="s">
        <v>1017</v>
      </c>
      <c r="B129" t="s">
        <v>806</v>
      </c>
      <c r="C129">
        <v>3</v>
      </c>
      <c r="D129" t="s">
        <v>1018</v>
      </c>
      <c r="E129" t="s">
        <v>1019</v>
      </c>
      <c r="F129" t="s">
        <v>41</v>
      </c>
      <c r="G129" t="s">
        <v>1020</v>
      </c>
      <c r="H129">
        <v>39</v>
      </c>
      <c r="I129">
        <v>2500</v>
      </c>
      <c r="J129">
        <v>57000</v>
      </c>
      <c r="K129">
        <v>76000</v>
      </c>
      <c r="L129">
        <v>0</v>
      </c>
      <c r="M129">
        <v>0</v>
      </c>
      <c r="N129">
        <v>0</v>
      </c>
      <c r="O129">
        <v>45</v>
      </c>
      <c r="P129">
        <v>12500</v>
      </c>
      <c r="Q129" s="5">
        <f>unitlist3[[#This Row],[health]]/unitlist3[[#This Row],[buildtime]]</f>
        <v>0.16447368421052633</v>
      </c>
      <c r="R129" s="5">
        <f>unitlist3[[#This Row],[dps]]/unitlist3[[#This Row],[metalcost]]</f>
        <v>0.34</v>
      </c>
      <c r="AA129">
        <v>850</v>
      </c>
      <c r="AB129">
        <v>700</v>
      </c>
      <c r="AF129">
        <v>455</v>
      </c>
      <c r="AG129">
        <v>683</v>
      </c>
      <c r="AH129" t="s">
        <v>41</v>
      </c>
      <c r="AI129" t="s">
        <v>443</v>
      </c>
      <c r="AJ129" t="s">
        <v>41</v>
      </c>
      <c r="AK129">
        <v>1</v>
      </c>
      <c r="AL129" t="s">
        <v>1571</v>
      </c>
      <c r="AM129" t="s">
        <v>41</v>
      </c>
    </row>
    <row r="130" spans="1:39" hidden="1">
      <c r="A130" t="s">
        <v>628</v>
      </c>
      <c r="B130" t="s">
        <v>38</v>
      </c>
      <c r="C130">
        <v>1</v>
      </c>
      <c r="D130" t="s">
        <v>629</v>
      </c>
      <c r="E130" t="s">
        <v>630</v>
      </c>
      <c r="F130" t="s">
        <v>41</v>
      </c>
      <c r="G130" t="s">
        <v>631</v>
      </c>
      <c r="H130">
        <v>13</v>
      </c>
      <c r="I130">
        <v>210</v>
      </c>
      <c r="J130">
        <v>6400</v>
      </c>
      <c r="K130">
        <v>9000</v>
      </c>
      <c r="L130">
        <v>0</v>
      </c>
      <c r="M130">
        <v>0</v>
      </c>
      <c r="N130">
        <v>0</v>
      </c>
      <c r="O130">
        <v>157</v>
      </c>
      <c r="P130">
        <v>1010</v>
      </c>
      <c r="Q130" s="5">
        <f>unitlist3[[#This Row],[health]]/unitlist3[[#This Row],[buildtime]]</f>
        <v>0.11222222222222222</v>
      </c>
      <c r="R130" s="5">
        <f>unitlist3[[#This Row],[dps]]/unitlist3[[#This Row],[metalcost]]</f>
        <v>0.31904761904761902</v>
      </c>
      <c r="S130">
        <v>1</v>
      </c>
      <c r="U130">
        <v>1</v>
      </c>
      <c r="AA130">
        <v>67</v>
      </c>
      <c r="AB130">
        <v>425</v>
      </c>
      <c r="AF130">
        <v>595</v>
      </c>
      <c r="AG130">
        <v>893</v>
      </c>
      <c r="AH130" t="s">
        <v>41</v>
      </c>
      <c r="AI130" t="s">
        <v>158</v>
      </c>
      <c r="AJ130" t="s">
        <v>41</v>
      </c>
      <c r="AK130">
        <v>1</v>
      </c>
      <c r="AL130" t="s">
        <v>1424</v>
      </c>
      <c r="AM130" t="s">
        <v>41</v>
      </c>
    </row>
    <row r="131" spans="1:39" hidden="1">
      <c r="A131" t="s">
        <v>905</v>
      </c>
      <c r="B131" t="s">
        <v>806</v>
      </c>
      <c r="C131">
        <v>1</v>
      </c>
      <c r="D131" t="s">
        <v>906</v>
      </c>
      <c r="E131" t="s">
        <v>630</v>
      </c>
      <c r="F131" t="s">
        <v>41</v>
      </c>
      <c r="G131" t="s">
        <v>907</v>
      </c>
      <c r="H131">
        <v>14</v>
      </c>
      <c r="I131">
        <v>230</v>
      </c>
      <c r="J131">
        <v>5400</v>
      </c>
      <c r="K131">
        <v>9470</v>
      </c>
      <c r="L131">
        <v>0</v>
      </c>
      <c r="M131">
        <v>0</v>
      </c>
      <c r="N131">
        <v>0</v>
      </c>
      <c r="O131">
        <v>152</v>
      </c>
      <c r="P131">
        <v>1010</v>
      </c>
      <c r="Q131" s="5">
        <f>unitlist3[[#This Row],[health]]/unitlist3[[#This Row],[buildtime]]</f>
        <v>0.10665258711721225</v>
      </c>
      <c r="R131" s="5">
        <f>unitlist3[[#This Row],[dps]]/unitlist3[[#This Row],[metalcost]]</f>
        <v>0.31304347826086959</v>
      </c>
      <c r="S131">
        <v>1</v>
      </c>
      <c r="U131">
        <v>1</v>
      </c>
      <c r="AA131">
        <v>72</v>
      </c>
      <c r="AB131">
        <v>430</v>
      </c>
      <c r="AF131">
        <v>595</v>
      </c>
      <c r="AG131">
        <v>893</v>
      </c>
      <c r="AH131" t="s">
        <v>41</v>
      </c>
      <c r="AI131" t="s">
        <v>124</v>
      </c>
      <c r="AJ131" t="s">
        <v>41</v>
      </c>
      <c r="AK131">
        <v>1</v>
      </c>
      <c r="AL131" t="s">
        <v>1517</v>
      </c>
      <c r="AM131" t="s">
        <v>41</v>
      </c>
    </row>
    <row r="132" spans="1:39" hidden="1">
      <c r="A132" t="s">
        <v>125</v>
      </c>
      <c r="B132" t="s">
        <v>38</v>
      </c>
      <c r="C132">
        <v>2</v>
      </c>
      <c r="D132" t="s">
        <v>126</v>
      </c>
      <c r="E132" t="s">
        <v>127</v>
      </c>
      <c r="F132" t="s">
        <v>41</v>
      </c>
      <c r="G132" t="s">
        <v>125</v>
      </c>
      <c r="H132">
        <v>88</v>
      </c>
      <c r="I132">
        <v>3500</v>
      </c>
      <c r="J132">
        <v>74000</v>
      </c>
      <c r="K132">
        <v>52000</v>
      </c>
      <c r="L132">
        <v>0</v>
      </c>
      <c r="M132">
        <v>0</v>
      </c>
      <c r="N132">
        <v>0</v>
      </c>
      <c r="O132">
        <v>0</v>
      </c>
      <c r="P132">
        <v>6100</v>
      </c>
      <c r="Q132" s="5">
        <f>unitlist3[[#This Row],[health]]/unitlist3[[#This Row],[buildtime]]</f>
        <v>0.11730769230769231</v>
      </c>
      <c r="R132" s="5">
        <f>unitlist3[[#This Row],[dps]]/unitlist3[[#This Row],[metalcost]]</f>
        <v>0.31171428571428572</v>
      </c>
      <c r="Z132">
        <v>1</v>
      </c>
      <c r="AA132">
        <v>1091</v>
      </c>
      <c r="AB132">
        <v>1400</v>
      </c>
      <c r="AE132">
        <v>1500</v>
      </c>
      <c r="AF132">
        <v>780</v>
      </c>
      <c r="AG132">
        <v>1170</v>
      </c>
      <c r="AH132" t="s">
        <v>48</v>
      </c>
      <c r="AI132" t="s">
        <v>128</v>
      </c>
      <c r="AJ132" t="s">
        <v>41</v>
      </c>
      <c r="AK132">
        <v>1</v>
      </c>
      <c r="AL132" t="s">
        <v>1290</v>
      </c>
      <c r="AM132" t="s">
        <v>41</v>
      </c>
    </row>
    <row r="133" spans="1:39">
      <c r="A133" t="s">
        <v>140</v>
      </c>
      <c r="B133" t="s">
        <v>38</v>
      </c>
      <c r="C133">
        <v>1</v>
      </c>
      <c r="D133" t="s">
        <v>141</v>
      </c>
      <c r="E133" t="s">
        <v>142</v>
      </c>
      <c r="F133" t="s">
        <v>41</v>
      </c>
      <c r="G133" t="s">
        <v>143</v>
      </c>
      <c r="H133">
        <v>31</v>
      </c>
      <c r="I133">
        <v>135</v>
      </c>
      <c r="J133">
        <v>2200</v>
      </c>
      <c r="K133">
        <v>3000</v>
      </c>
      <c r="L133">
        <v>0</v>
      </c>
      <c r="M133">
        <v>0</v>
      </c>
      <c r="N133">
        <v>0</v>
      </c>
      <c r="O133">
        <v>54</v>
      </c>
      <c r="P133">
        <v>620</v>
      </c>
      <c r="Q133" s="5">
        <f>unitlist3[[#This Row],[health]]/unitlist3[[#This Row],[buildtime]]</f>
        <v>0.20666666666666667</v>
      </c>
      <c r="R133" s="5">
        <f>unitlist3[[#This Row],[dps]]/unitlist3[[#This Row],[metalcost]]</f>
        <v>0.31111111111111112</v>
      </c>
      <c r="AA133">
        <v>42</v>
      </c>
      <c r="AB133">
        <v>710</v>
      </c>
      <c r="AF133">
        <v>364</v>
      </c>
      <c r="AG133">
        <v>546</v>
      </c>
      <c r="AH133" t="s">
        <v>41</v>
      </c>
      <c r="AI133" t="s">
        <v>124</v>
      </c>
      <c r="AJ133" t="s">
        <v>41</v>
      </c>
      <c r="AK133">
        <v>1</v>
      </c>
      <c r="AL133" t="s">
        <v>1296</v>
      </c>
      <c r="AM133" t="s">
        <v>41</v>
      </c>
    </row>
    <row r="134" spans="1:39" hidden="1">
      <c r="A134" t="s">
        <v>588</v>
      </c>
      <c r="B134" t="s">
        <v>38</v>
      </c>
      <c r="C134">
        <v>1</v>
      </c>
      <c r="D134" t="s">
        <v>589</v>
      </c>
      <c r="E134" t="s">
        <v>590</v>
      </c>
      <c r="F134" t="s">
        <v>41</v>
      </c>
      <c r="G134" t="s">
        <v>591</v>
      </c>
      <c r="H134">
        <v>22</v>
      </c>
      <c r="I134">
        <v>380</v>
      </c>
      <c r="J134">
        <v>2550</v>
      </c>
      <c r="K134">
        <v>4250</v>
      </c>
      <c r="L134">
        <v>0</v>
      </c>
      <c r="M134">
        <v>0</v>
      </c>
      <c r="N134">
        <v>0</v>
      </c>
      <c r="O134">
        <v>81</v>
      </c>
      <c r="P134">
        <v>2150</v>
      </c>
      <c r="Q134" s="5">
        <f>unitlist3[[#This Row],[health]]/unitlist3[[#This Row],[buildtime]]</f>
        <v>0.50588235294117645</v>
      </c>
      <c r="R134" s="5">
        <f>unitlist3[[#This Row],[dps]]/unitlist3[[#This Row],[metalcost]]</f>
        <v>0.30789473684210528</v>
      </c>
      <c r="W134">
        <v>1</v>
      </c>
      <c r="AA134">
        <v>117</v>
      </c>
      <c r="AB134">
        <v>470</v>
      </c>
      <c r="AF134">
        <v>500</v>
      </c>
      <c r="AG134">
        <v>750</v>
      </c>
      <c r="AH134" t="s">
        <v>41</v>
      </c>
      <c r="AI134" t="s">
        <v>99</v>
      </c>
      <c r="AJ134" t="s">
        <v>41</v>
      </c>
      <c r="AK134">
        <v>1</v>
      </c>
      <c r="AL134" t="s">
        <v>1414</v>
      </c>
      <c r="AM134" t="s">
        <v>41</v>
      </c>
    </row>
    <row r="135" spans="1:39">
      <c r="A135" t="s">
        <v>1052</v>
      </c>
      <c r="B135" t="s">
        <v>806</v>
      </c>
      <c r="C135">
        <v>1</v>
      </c>
      <c r="D135" t="s">
        <v>1053</v>
      </c>
      <c r="E135" t="s">
        <v>528</v>
      </c>
      <c r="F135" t="s">
        <v>41</v>
      </c>
      <c r="G135" t="s">
        <v>529</v>
      </c>
      <c r="H135">
        <v>14</v>
      </c>
      <c r="I135">
        <v>200</v>
      </c>
      <c r="J135">
        <v>3300</v>
      </c>
      <c r="K135">
        <v>3500</v>
      </c>
      <c r="L135">
        <v>0</v>
      </c>
      <c r="M135">
        <v>0</v>
      </c>
      <c r="N135">
        <v>0</v>
      </c>
      <c r="O135">
        <v>64</v>
      </c>
      <c r="P135">
        <v>550</v>
      </c>
      <c r="Q135" s="5">
        <f>unitlist3[[#This Row],[health]]/unitlist3[[#This Row],[buildtime]]</f>
        <v>0.15714285714285714</v>
      </c>
      <c r="R135" s="5">
        <f>unitlist3[[#This Row],[dps]]/unitlist3[[#This Row],[metalcost]]</f>
        <v>0.30499999999999999</v>
      </c>
      <c r="V135">
        <v>1</v>
      </c>
      <c r="AA135">
        <v>61</v>
      </c>
      <c r="AB135">
        <v>700</v>
      </c>
      <c r="AF135">
        <v>509</v>
      </c>
      <c r="AG135">
        <v>764</v>
      </c>
      <c r="AH135" t="s">
        <v>41</v>
      </c>
      <c r="AI135" t="s">
        <v>104</v>
      </c>
      <c r="AJ135" t="s">
        <v>41</v>
      </c>
      <c r="AK135">
        <v>1</v>
      </c>
      <c r="AL135" t="s">
        <v>1586</v>
      </c>
      <c r="AM135" t="s">
        <v>41</v>
      </c>
    </row>
    <row r="136" spans="1:39" hidden="1">
      <c r="A136" t="s">
        <v>836</v>
      </c>
      <c r="B136" t="s">
        <v>806</v>
      </c>
      <c r="C136">
        <v>2</v>
      </c>
      <c r="D136" t="s">
        <v>837</v>
      </c>
      <c r="E136" t="s">
        <v>205</v>
      </c>
      <c r="F136" t="s">
        <v>41</v>
      </c>
      <c r="G136" t="s">
        <v>202</v>
      </c>
      <c r="H136">
        <v>23</v>
      </c>
      <c r="I136">
        <v>370</v>
      </c>
      <c r="J136">
        <v>6800</v>
      </c>
      <c r="K136">
        <v>14500</v>
      </c>
      <c r="L136">
        <v>0</v>
      </c>
      <c r="M136">
        <v>0</v>
      </c>
      <c r="N136">
        <v>0</v>
      </c>
      <c r="O136">
        <v>159</v>
      </c>
      <c r="P136">
        <v>1560</v>
      </c>
      <c r="Q136" s="5">
        <f>unitlist3[[#This Row],[health]]/unitlist3[[#This Row],[buildtime]]</f>
        <v>0.10758620689655173</v>
      </c>
      <c r="R136" s="5">
        <f>unitlist3[[#This Row],[dps]]/unitlist3[[#This Row],[metalcost]]</f>
        <v>0.3</v>
      </c>
      <c r="U136">
        <v>1</v>
      </c>
      <c r="AA136">
        <v>111</v>
      </c>
      <c r="AB136">
        <v>410</v>
      </c>
      <c r="AF136">
        <v>550</v>
      </c>
      <c r="AG136">
        <v>825</v>
      </c>
      <c r="AH136" t="s">
        <v>41</v>
      </c>
      <c r="AI136" t="s">
        <v>88</v>
      </c>
      <c r="AJ136" t="s">
        <v>41</v>
      </c>
      <c r="AK136">
        <v>1</v>
      </c>
      <c r="AL136" t="s">
        <v>1492</v>
      </c>
      <c r="AM136" t="s">
        <v>41</v>
      </c>
    </row>
    <row r="137" spans="1:39" hidden="1">
      <c r="A137" t="s">
        <v>1126</v>
      </c>
      <c r="B137" t="s">
        <v>806</v>
      </c>
      <c r="C137">
        <v>1</v>
      </c>
      <c r="D137" t="s">
        <v>1127</v>
      </c>
      <c r="E137" t="s">
        <v>651</v>
      </c>
      <c r="F137" t="s">
        <v>41</v>
      </c>
      <c r="G137" t="s">
        <v>652</v>
      </c>
      <c r="H137">
        <v>16</v>
      </c>
      <c r="I137">
        <v>230</v>
      </c>
      <c r="J137">
        <v>5500</v>
      </c>
      <c r="K137">
        <v>10700</v>
      </c>
      <c r="L137">
        <v>0</v>
      </c>
      <c r="M137">
        <v>0</v>
      </c>
      <c r="N137">
        <v>0</v>
      </c>
      <c r="O137">
        <v>266</v>
      </c>
      <c r="P137">
        <v>1070</v>
      </c>
      <c r="Q137" s="5">
        <f>unitlist3[[#This Row],[health]]/unitlist3[[#This Row],[buildtime]]</f>
        <v>0.1</v>
      </c>
      <c r="R137" s="5">
        <f>unitlist3[[#This Row],[dps]]/unitlist3[[#This Row],[metalcost]]</f>
        <v>0.29565217391304349</v>
      </c>
      <c r="S137">
        <v>1</v>
      </c>
      <c r="U137">
        <v>1</v>
      </c>
      <c r="AA137">
        <v>68</v>
      </c>
      <c r="AB137">
        <v>600</v>
      </c>
      <c r="AD137">
        <v>535</v>
      </c>
      <c r="AF137">
        <v>535</v>
      </c>
      <c r="AG137">
        <v>803</v>
      </c>
      <c r="AH137" t="s">
        <v>41</v>
      </c>
      <c r="AI137" t="s">
        <v>168</v>
      </c>
      <c r="AJ137" t="s">
        <v>41</v>
      </c>
      <c r="AK137">
        <v>1</v>
      </c>
      <c r="AL137" t="s">
        <v>1623</v>
      </c>
      <c r="AM137" t="s">
        <v>41</v>
      </c>
    </row>
    <row r="138" spans="1:39" hidden="1">
      <c r="A138" t="s">
        <v>624</v>
      </c>
      <c r="B138" t="s">
        <v>38</v>
      </c>
      <c r="C138">
        <v>1</v>
      </c>
      <c r="D138" t="s">
        <v>625</v>
      </c>
      <c r="E138" t="s">
        <v>626</v>
      </c>
      <c r="F138" t="s">
        <v>41</v>
      </c>
      <c r="G138" t="s">
        <v>627</v>
      </c>
      <c r="H138">
        <v>28</v>
      </c>
      <c r="I138">
        <v>880</v>
      </c>
      <c r="J138">
        <v>6600</v>
      </c>
      <c r="K138">
        <v>10200</v>
      </c>
      <c r="L138">
        <v>0</v>
      </c>
      <c r="M138">
        <v>0</v>
      </c>
      <c r="N138">
        <v>0</v>
      </c>
      <c r="O138">
        <v>67</v>
      </c>
      <c r="P138">
        <v>3700</v>
      </c>
      <c r="Q138" s="5">
        <f>unitlist3[[#This Row],[health]]/unitlist3[[#This Row],[buildtime]]</f>
        <v>0.36274509803921567</v>
      </c>
      <c r="R138" s="5">
        <f>unitlist3[[#This Row],[dps]]/unitlist3[[#This Row],[metalcost]]</f>
        <v>0.29431818181818181</v>
      </c>
      <c r="W138">
        <v>1</v>
      </c>
      <c r="AA138">
        <v>259</v>
      </c>
      <c r="AB138">
        <v>700</v>
      </c>
      <c r="AD138">
        <v>375</v>
      </c>
      <c r="AF138">
        <v>500</v>
      </c>
      <c r="AG138">
        <v>750</v>
      </c>
      <c r="AH138" t="s">
        <v>41</v>
      </c>
      <c r="AI138" t="s">
        <v>489</v>
      </c>
      <c r="AJ138" t="s">
        <v>41</v>
      </c>
      <c r="AK138">
        <v>1</v>
      </c>
      <c r="AL138" t="s">
        <v>1423</v>
      </c>
      <c r="AM138" t="s">
        <v>41</v>
      </c>
    </row>
    <row r="139" spans="1:39">
      <c r="A139" t="s">
        <v>1154</v>
      </c>
      <c r="B139" t="s">
        <v>806</v>
      </c>
      <c r="C139">
        <v>3</v>
      </c>
      <c r="D139" t="s">
        <v>1155</v>
      </c>
      <c r="E139" t="s">
        <v>1156</v>
      </c>
      <c r="F139" t="s">
        <v>41</v>
      </c>
      <c r="G139" t="s">
        <v>1157</v>
      </c>
      <c r="H139">
        <v>40</v>
      </c>
      <c r="I139">
        <v>950</v>
      </c>
      <c r="J139">
        <v>19000</v>
      </c>
      <c r="K139">
        <v>27000</v>
      </c>
      <c r="L139">
        <v>0</v>
      </c>
      <c r="M139">
        <v>0</v>
      </c>
      <c r="N139">
        <v>0</v>
      </c>
      <c r="O139">
        <v>45</v>
      </c>
      <c r="P139">
        <v>4200</v>
      </c>
      <c r="Q139" s="5">
        <f>unitlist3[[#This Row],[health]]/unitlist3[[#This Row],[buildtime]]</f>
        <v>0.15555555555555556</v>
      </c>
      <c r="R139" s="5">
        <f>unitlist3[[#This Row],[dps]]/unitlist3[[#This Row],[metalcost]]</f>
        <v>0.29368421052631577</v>
      </c>
      <c r="V139">
        <v>1</v>
      </c>
      <c r="AA139">
        <v>279</v>
      </c>
      <c r="AB139">
        <v>725</v>
      </c>
      <c r="AD139">
        <v>550</v>
      </c>
      <c r="AF139">
        <v>650</v>
      </c>
      <c r="AG139">
        <v>975</v>
      </c>
      <c r="AH139" t="s">
        <v>41</v>
      </c>
      <c r="AI139" t="s">
        <v>1635</v>
      </c>
      <c r="AJ139" t="s">
        <v>41</v>
      </c>
      <c r="AK139">
        <v>1</v>
      </c>
      <c r="AL139" t="s">
        <v>1636</v>
      </c>
      <c r="AM139" t="s">
        <v>41</v>
      </c>
    </row>
    <row r="140" spans="1:39">
      <c r="A140" t="s">
        <v>604</v>
      </c>
      <c r="B140" t="s">
        <v>38</v>
      </c>
      <c r="C140">
        <v>3</v>
      </c>
      <c r="D140" t="s">
        <v>605</v>
      </c>
      <c r="E140" t="s">
        <v>157</v>
      </c>
      <c r="F140" t="s">
        <v>41</v>
      </c>
      <c r="G140" t="s">
        <v>606</v>
      </c>
      <c r="H140">
        <v>73</v>
      </c>
      <c r="I140">
        <v>3800</v>
      </c>
      <c r="J140">
        <v>68000</v>
      </c>
      <c r="K140">
        <v>88600</v>
      </c>
      <c r="L140">
        <v>0</v>
      </c>
      <c r="M140">
        <v>0</v>
      </c>
      <c r="N140">
        <v>0</v>
      </c>
      <c r="O140">
        <v>69</v>
      </c>
      <c r="P140">
        <v>13300</v>
      </c>
      <c r="Q140" s="5">
        <f>unitlist3[[#This Row],[health]]/unitlist3[[#This Row],[buildtime]]</f>
        <v>0.15011286681715574</v>
      </c>
      <c r="R140" s="5">
        <f>unitlist3[[#This Row],[dps]]/unitlist3[[#This Row],[metalcost]]</f>
        <v>0.28921052631578947</v>
      </c>
      <c r="AA140">
        <v>1099</v>
      </c>
      <c r="AB140">
        <v>475</v>
      </c>
      <c r="AF140">
        <v>450</v>
      </c>
      <c r="AG140">
        <v>675</v>
      </c>
      <c r="AH140" t="s">
        <v>41</v>
      </c>
      <c r="AI140" t="s">
        <v>128</v>
      </c>
      <c r="AJ140" t="s">
        <v>41</v>
      </c>
      <c r="AK140">
        <v>1</v>
      </c>
      <c r="AL140" t="s">
        <v>1418</v>
      </c>
      <c r="AM140" t="s">
        <v>41</v>
      </c>
    </row>
    <row r="141" spans="1:39">
      <c r="A141" t="s">
        <v>526</v>
      </c>
      <c r="B141" t="s">
        <v>38</v>
      </c>
      <c r="C141">
        <v>1</v>
      </c>
      <c r="D141" t="s">
        <v>527</v>
      </c>
      <c r="E141" t="s">
        <v>528</v>
      </c>
      <c r="F141" t="s">
        <v>41</v>
      </c>
      <c r="G141" t="s">
        <v>529</v>
      </c>
      <c r="H141">
        <v>25</v>
      </c>
      <c r="I141">
        <v>175</v>
      </c>
      <c r="J141">
        <v>3000</v>
      </c>
      <c r="K141">
        <v>3300</v>
      </c>
      <c r="L141">
        <v>0</v>
      </c>
      <c r="M141">
        <v>0</v>
      </c>
      <c r="N141">
        <v>0</v>
      </c>
      <c r="O141">
        <v>64</v>
      </c>
      <c r="P141">
        <v>530</v>
      </c>
      <c r="Q141" s="5">
        <f>unitlist3[[#This Row],[health]]/unitlist3[[#This Row],[buildtime]]</f>
        <v>0.16060606060606061</v>
      </c>
      <c r="R141" s="5">
        <f>unitlist3[[#This Row],[dps]]/unitlist3[[#This Row],[metalcost]]</f>
        <v>0.2857142857142857</v>
      </c>
      <c r="V141">
        <v>1</v>
      </c>
      <c r="AA141">
        <v>50</v>
      </c>
      <c r="AB141">
        <v>710</v>
      </c>
      <c r="AF141">
        <v>509</v>
      </c>
      <c r="AG141">
        <v>764</v>
      </c>
      <c r="AH141" t="s">
        <v>41</v>
      </c>
      <c r="AI141" t="s">
        <v>104</v>
      </c>
      <c r="AJ141" t="s">
        <v>41</v>
      </c>
      <c r="AK141">
        <v>1</v>
      </c>
      <c r="AL141" t="s">
        <v>1396</v>
      </c>
      <c r="AM141" t="s">
        <v>41</v>
      </c>
    </row>
    <row r="142" spans="1:39" hidden="1">
      <c r="A142" t="s">
        <v>1086</v>
      </c>
      <c r="B142" t="s">
        <v>806</v>
      </c>
      <c r="C142">
        <v>1</v>
      </c>
      <c r="D142" t="s">
        <v>1087</v>
      </c>
      <c r="E142" t="s">
        <v>590</v>
      </c>
      <c r="F142" t="s">
        <v>41</v>
      </c>
      <c r="G142" t="s">
        <v>591</v>
      </c>
      <c r="H142">
        <v>26</v>
      </c>
      <c r="I142">
        <v>420</v>
      </c>
      <c r="J142">
        <v>2800</v>
      </c>
      <c r="K142">
        <v>4550</v>
      </c>
      <c r="L142">
        <v>0</v>
      </c>
      <c r="M142">
        <v>0</v>
      </c>
      <c r="N142">
        <v>0</v>
      </c>
      <c r="O142">
        <v>83</v>
      </c>
      <c r="P142">
        <v>2350</v>
      </c>
      <c r="Q142" s="5">
        <f>unitlist3[[#This Row],[health]]/unitlist3[[#This Row],[buildtime]]</f>
        <v>0.51648351648351654</v>
      </c>
      <c r="R142" s="5">
        <f>unitlist3[[#This Row],[dps]]/unitlist3[[#This Row],[metalcost]]</f>
        <v>0.2857142857142857</v>
      </c>
      <c r="W142">
        <v>1</v>
      </c>
      <c r="AA142">
        <v>120</v>
      </c>
      <c r="AB142">
        <v>480</v>
      </c>
      <c r="AF142">
        <v>500</v>
      </c>
      <c r="AG142">
        <v>750</v>
      </c>
      <c r="AH142" t="s">
        <v>41</v>
      </c>
      <c r="AI142" t="s">
        <v>124</v>
      </c>
      <c r="AJ142" t="s">
        <v>41</v>
      </c>
      <c r="AK142">
        <v>1</v>
      </c>
      <c r="AL142" t="s">
        <v>1606</v>
      </c>
      <c r="AM142" t="s">
        <v>41</v>
      </c>
    </row>
    <row r="143" spans="1:39" hidden="1">
      <c r="A143" t="s">
        <v>474</v>
      </c>
      <c r="B143" t="s">
        <v>38</v>
      </c>
      <c r="C143">
        <v>2</v>
      </c>
      <c r="D143" t="s">
        <v>475</v>
      </c>
      <c r="E143" t="s">
        <v>476</v>
      </c>
      <c r="F143" t="s">
        <v>41</v>
      </c>
      <c r="G143" t="s">
        <v>477</v>
      </c>
      <c r="H143">
        <v>22</v>
      </c>
      <c r="I143">
        <v>2200</v>
      </c>
      <c r="J143">
        <v>46000</v>
      </c>
      <c r="K143">
        <v>57400</v>
      </c>
      <c r="L143">
        <v>0</v>
      </c>
      <c r="M143">
        <v>0</v>
      </c>
      <c r="N143">
        <v>0</v>
      </c>
      <c r="O143">
        <v>295</v>
      </c>
      <c r="P143">
        <v>2300</v>
      </c>
      <c r="Q143" s="5">
        <f>unitlist3[[#This Row],[health]]/unitlist3[[#This Row],[buildtime]]</f>
        <v>4.0069686411149823E-2</v>
      </c>
      <c r="R143" s="5">
        <f>unitlist3[[#This Row],[dps]]/unitlist3[[#This Row],[metalcost]]</f>
        <v>0.28409090909090912</v>
      </c>
      <c r="U143">
        <v>1</v>
      </c>
      <c r="AA143">
        <v>625</v>
      </c>
      <c r="AB143">
        <v>250</v>
      </c>
      <c r="AF143">
        <v>455</v>
      </c>
      <c r="AG143">
        <v>683</v>
      </c>
      <c r="AH143" t="s">
        <v>41</v>
      </c>
      <c r="AI143" t="s">
        <v>88</v>
      </c>
      <c r="AJ143" t="s">
        <v>41</v>
      </c>
      <c r="AK143">
        <v>1</v>
      </c>
      <c r="AL143" t="s">
        <v>1382</v>
      </c>
      <c r="AM143" t="s">
        <v>41</v>
      </c>
    </row>
    <row r="144" spans="1:39" hidden="1">
      <c r="A144" t="s">
        <v>1111</v>
      </c>
      <c r="B144" t="s">
        <v>806</v>
      </c>
      <c r="C144">
        <v>1</v>
      </c>
      <c r="D144" t="s">
        <v>1112</v>
      </c>
      <c r="E144" t="s">
        <v>626</v>
      </c>
      <c r="F144" t="s">
        <v>41</v>
      </c>
      <c r="G144" t="s">
        <v>627</v>
      </c>
      <c r="H144">
        <v>23</v>
      </c>
      <c r="I144">
        <v>960</v>
      </c>
      <c r="J144">
        <v>7200</v>
      </c>
      <c r="K144">
        <v>10600</v>
      </c>
      <c r="L144">
        <v>0</v>
      </c>
      <c r="M144">
        <v>0</v>
      </c>
      <c r="N144">
        <v>0</v>
      </c>
      <c r="O144">
        <v>62</v>
      </c>
      <c r="P144">
        <v>3950</v>
      </c>
      <c r="Q144" s="5">
        <f>unitlist3[[#This Row],[health]]/unitlist3[[#This Row],[buildtime]]</f>
        <v>0.37264150943396224</v>
      </c>
      <c r="R144" s="5">
        <f>unitlist3[[#This Row],[dps]]/unitlist3[[#This Row],[metalcost]]</f>
        <v>0.28333333333333333</v>
      </c>
      <c r="W144">
        <v>1</v>
      </c>
      <c r="AA144">
        <v>272</v>
      </c>
      <c r="AB144">
        <v>710</v>
      </c>
      <c r="AD144">
        <v>400</v>
      </c>
      <c r="AF144">
        <v>500</v>
      </c>
      <c r="AG144">
        <v>750</v>
      </c>
      <c r="AH144" t="s">
        <v>41</v>
      </c>
      <c r="AI144" t="s">
        <v>489</v>
      </c>
      <c r="AJ144" t="s">
        <v>41</v>
      </c>
      <c r="AK144">
        <v>1</v>
      </c>
      <c r="AL144" t="s">
        <v>1616</v>
      </c>
      <c r="AM144" t="s">
        <v>41</v>
      </c>
    </row>
    <row r="145" spans="1:39">
      <c r="A145" t="s">
        <v>912</v>
      </c>
      <c r="B145" t="s">
        <v>806</v>
      </c>
      <c r="C145">
        <v>3</v>
      </c>
      <c r="D145" t="s">
        <v>913</v>
      </c>
      <c r="E145" t="s">
        <v>914</v>
      </c>
      <c r="F145" t="s">
        <v>41</v>
      </c>
      <c r="G145" t="s">
        <v>912</v>
      </c>
      <c r="H145">
        <v>121</v>
      </c>
      <c r="I145">
        <v>6000</v>
      </c>
      <c r="J145">
        <v>90000</v>
      </c>
      <c r="K145">
        <v>120000</v>
      </c>
      <c r="L145">
        <v>0</v>
      </c>
      <c r="M145">
        <v>0</v>
      </c>
      <c r="N145">
        <v>0</v>
      </c>
      <c r="O145">
        <v>63</v>
      </c>
      <c r="P145">
        <v>18000</v>
      </c>
      <c r="Q145" s="5">
        <f>unitlist3[[#This Row],[health]]/unitlist3[[#This Row],[buildtime]]</f>
        <v>0.15</v>
      </c>
      <c r="R145" s="5">
        <f>unitlist3[[#This Row],[dps]]/unitlist3[[#This Row],[metalcost]]</f>
        <v>0.28166666666666668</v>
      </c>
      <c r="AA145">
        <v>1690</v>
      </c>
      <c r="AB145">
        <v>700</v>
      </c>
      <c r="AF145">
        <v>500</v>
      </c>
      <c r="AG145">
        <v>750</v>
      </c>
      <c r="AH145" t="s">
        <v>41</v>
      </c>
      <c r="AI145" t="s">
        <v>915</v>
      </c>
      <c r="AJ145" t="s">
        <v>41</v>
      </c>
      <c r="AK145">
        <v>1</v>
      </c>
      <c r="AL145" t="s">
        <v>1520</v>
      </c>
      <c r="AM145" t="s">
        <v>41</v>
      </c>
    </row>
    <row r="146" spans="1:39" hidden="1">
      <c r="A146" t="s">
        <v>452</v>
      </c>
      <c r="B146" t="s">
        <v>38</v>
      </c>
      <c r="C146">
        <v>1</v>
      </c>
      <c r="D146" t="s">
        <v>453</v>
      </c>
      <c r="E146" t="s">
        <v>454</v>
      </c>
      <c r="F146" t="s">
        <v>41</v>
      </c>
      <c r="G146" t="s">
        <v>455</v>
      </c>
      <c r="H146">
        <v>15</v>
      </c>
      <c r="I146">
        <v>135</v>
      </c>
      <c r="J146">
        <v>2300</v>
      </c>
      <c r="K146">
        <v>5050</v>
      </c>
      <c r="L146">
        <v>0</v>
      </c>
      <c r="M146">
        <v>0</v>
      </c>
      <c r="N146">
        <v>0</v>
      </c>
      <c r="O146">
        <v>185</v>
      </c>
      <c r="P146">
        <v>485</v>
      </c>
      <c r="Q146" s="5">
        <f>unitlist3[[#This Row],[health]]/unitlist3[[#This Row],[buildtime]]</f>
        <v>9.6039603960396042E-2</v>
      </c>
      <c r="R146" s="5">
        <f>unitlist3[[#This Row],[dps]]/unitlist3[[#This Row],[metalcost]]</f>
        <v>0.2814814814814815</v>
      </c>
      <c r="U146">
        <v>1</v>
      </c>
      <c r="AA146">
        <v>38</v>
      </c>
      <c r="AB146">
        <v>350</v>
      </c>
      <c r="AF146">
        <v>520</v>
      </c>
      <c r="AG146">
        <v>780</v>
      </c>
      <c r="AH146" t="s">
        <v>41</v>
      </c>
      <c r="AI146" t="s">
        <v>158</v>
      </c>
      <c r="AJ146" t="s">
        <v>41</v>
      </c>
      <c r="AK146">
        <v>1</v>
      </c>
      <c r="AL146" t="s">
        <v>1377</v>
      </c>
      <c r="AM146" t="s">
        <v>41</v>
      </c>
    </row>
    <row r="147" spans="1:39">
      <c r="A147" t="s">
        <v>485</v>
      </c>
      <c r="B147" t="s">
        <v>38</v>
      </c>
      <c r="C147">
        <v>3</v>
      </c>
      <c r="D147" t="s">
        <v>486</v>
      </c>
      <c r="E147" t="s">
        <v>487</v>
      </c>
      <c r="F147" t="s">
        <v>41</v>
      </c>
      <c r="G147" t="s">
        <v>488</v>
      </c>
      <c r="H147">
        <v>24</v>
      </c>
      <c r="I147">
        <v>1150</v>
      </c>
      <c r="J147">
        <v>23000</v>
      </c>
      <c r="K147">
        <v>32000</v>
      </c>
      <c r="L147">
        <v>0</v>
      </c>
      <c r="M147">
        <v>0</v>
      </c>
      <c r="N147">
        <v>0</v>
      </c>
      <c r="O147">
        <v>50</v>
      </c>
      <c r="P147">
        <v>5300</v>
      </c>
      <c r="Q147" s="5">
        <f>unitlist3[[#This Row],[health]]/unitlist3[[#This Row],[buildtime]]</f>
        <v>0.16562499999999999</v>
      </c>
      <c r="R147" s="5">
        <f>unitlist3[[#This Row],[dps]]/unitlist3[[#This Row],[metalcost]]</f>
        <v>0.27652173913043476</v>
      </c>
      <c r="V147">
        <v>1</v>
      </c>
      <c r="AA147">
        <v>318</v>
      </c>
      <c r="AB147">
        <v>575</v>
      </c>
      <c r="AD147">
        <v>550</v>
      </c>
      <c r="AF147">
        <v>620</v>
      </c>
      <c r="AG147">
        <v>930</v>
      </c>
      <c r="AH147" t="s">
        <v>41</v>
      </c>
      <c r="AI147" t="s">
        <v>489</v>
      </c>
      <c r="AJ147" t="s">
        <v>41</v>
      </c>
      <c r="AK147">
        <v>1</v>
      </c>
      <c r="AL147" t="s">
        <v>1386</v>
      </c>
      <c r="AM147" t="s">
        <v>41</v>
      </c>
    </row>
    <row r="148" spans="1:39">
      <c r="A148" t="s">
        <v>506</v>
      </c>
      <c r="B148" t="s">
        <v>38</v>
      </c>
      <c r="C148">
        <v>2</v>
      </c>
      <c r="D148" t="s">
        <v>507</v>
      </c>
      <c r="E148" t="s">
        <v>508</v>
      </c>
      <c r="F148" t="s">
        <v>41</v>
      </c>
      <c r="G148" t="s">
        <v>509</v>
      </c>
      <c r="H148">
        <v>30</v>
      </c>
      <c r="I148">
        <v>320</v>
      </c>
      <c r="J148">
        <v>4900</v>
      </c>
      <c r="K148">
        <v>6500</v>
      </c>
      <c r="L148">
        <v>0</v>
      </c>
      <c r="M148">
        <v>0</v>
      </c>
      <c r="N148">
        <v>0</v>
      </c>
      <c r="O148">
        <v>60</v>
      </c>
      <c r="P148">
        <v>1070</v>
      </c>
      <c r="Q148" s="5">
        <f>unitlist3[[#This Row],[health]]/unitlist3[[#This Row],[buildtime]]</f>
        <v>0.16461538461538461</v>
      </c>
      <c r="R148" s="5">
        <f>unitlist3[[#This Row],[dps]]/unitlist3[[#This Row],[metalcost]]</f>
        <v>0.26874999999999999</v>
      </c>
      <c r="AA148">
        <v>86</v>
      </c>
      <c r="AB148">
        <v>820</v>
      </c>
      <c r="AF148">
        <v>286</v>
      </c>
      <c r="AG148">
        <v>429</v>
      </c>
      <c r="AH148" t="s">
        <v>41</v>
      </c>
      <c r="AI148" t="s">
        <v>124</v>
      </c>
      <c r="AJ148" t="s">
        <v>41</v>
      </c>
      <c r="AK148">
        <v>1</v>
      </c>
      <c r="AL148" t="s">
        <v>1391</v>
      </c>
      <c r="AM148" t="s">
        <v>41</v>
      </c>
    </row>
    <row r="149" spans="1:39">
      <c r="A149" t="s">
        <v>1138</v>
      </c>
      <c r="B149" t="s">
        <v>806</v>
      </c>
      <c r="C149">
        <v>3</v>
      </c>
      <c r="D149" t="s">
        <v>1139</v>
      </c>
      <c r="E149" t="s">
        <v>1140</v>
      </c>
      <c r="F149" t="s">
        <v>41</v>
      </c>
      <c r="G149" t="s">
        <v>1141</v>
      </c>
      <c r="H149">
        <v>60</v>
      </c>
      <c r="I149">
        <v>1550</v>
      </c>
      <c r="J149">
        <v>23000</v>
      </c>
      <c r="K149">
        <v>30600</v>
      </c>
      <c r="L149">
        <v>0</v>
      </c>
      <c r="M149">
        <v>0</v>
      </c>
      <c r="N149">
        <v>0</v>
      </c>
      <c r="O149">
        <v>48</v>
      </c>
      <c r="P149">
        <v>9400</v>
      </c>
      <c r="Q149" s="5">
        <f>unitlist3[[#This Row],[health]]/unitlist3[[#This Row],[buildtime]]</f>
        <v>0.30718954248366015</v>
      </c>
      <c r="R149" s="5">
        <f>unitlist3[[#This Row],[dps]]/unitlist3[[#This Row],[metalcost]]</f>
        <v>0.26258064516129032</v>
      </c>
      <c r="S149">
        <v>1</v>
      </c>
      <c r="AA149">
        <v>407</v>
      </c>
      <c r="AB149">
        <v>800</v>
      </c>
      <c r="AF149">
        <v>520</v>
      </c>
      <c r="AG149">
        <v>780</v>
      </c>
      <c r="AH149" t="s">
        <v>41</v>
      </c>
      <c r="AI149" t="s">
        <v>1142</v>
      </c>
      <c r="AJ149" t="s">
        <v>41</v>
      </c>
      <c r="AK149">
        <v>1</v>
      </c>
      <c r="AL149" t="s">
        <v>1629</v>
      </c>
      <c r="AM149" t="s">
        <v>41</v>
      </c>
    </row>
    <row r="150" spans="1:39" hidden="1">
      <c r="A150" t="s">
        <v>514</v>
      </c>
      <c r="B150" t="s">
        <v>38</v>
      </c>
      <c r="C150">
        <v>2</v>
      </c>
      <c r="D150" t="s">
        <v>515</v>
      </c>
      <c r="E150" t="s">
        <v>516</v>
      </c>
      <c r="F150" t="s">
        <v>41</v>
      </c>
      <c r="G150" t="s">
        <v>517</v>
      </c>
      <c r="H150">
        <v>81</v>
      </c>
      <c r="I150">
        <v>1600</v>
      </c>
      <c r="J150">
        <v>33000</v>
      </c>
      <c r="K150">
        <v>28000</v>
      </c>
      <c r="L150">
        <v>0</v>
      </c>
      <c r="M150">
        <v>0</v>
      </c>
      <c r="N150">
        <v>0</v>
      </c>
      <c r="O150">
        <v>0</v>
      </c>
      <c r="P150">
        <v>1670</v>
      </c>
      <c r="Q150" s="5">
        <f>unitlist3[[#This Row],[health]]/unitlist3[[#This Row],[buildtime]]</f>
        <v>5.9642857142857143E-2</v>
      </c>
      <c r="R150" s="5">
        <f>unitlist3[[#This Row],[dps]]/unitlist3[[#This Row],[metalcost]]</f>
        <v>0.260625</v>
      </c>
      <c r="Z150">
        <v>1</v>
      </c>
      <c r="AA150">
        <v>417</v>
      </c>
      <c r="AB150">
        <v>2400</v>
      </c>
      <c r="AF150">
        <v>600</v>
      </c>
      <c r="AG150">
        <v>2400</v>
      </c>
      <c r="AH150" t="s">
        <v>41</v>
      </c>
      <c r="AI150" t="s">
        <v>88</v>
      </c>
      <c r="AJ150" t="s">
        <v>41</v>
      </c>
      <c r="AK150">
        <v>1</v>
      </c>
      <c r="AL150" t="s">
        <v>1393</v>
      </c>
      <c r="AM150" t="s">
        <v>41</v>
      </c>
    </row>
    <row r="151" spans="1:39" hidden="1">
      <c r="A151" t="s">
        <v>1049</v>
      </c>
      <c r="B151" t="s">
        <v>806</v>
      </c>
      <c r="C151">
        <v>2</v>
      </c>
      <c r="D151" t="s">
        <v>1050</v>
      </c>
      <c r="E151" t="s">
        <v>1051</v>
      </c>
      <c r="F151" t="s">
        <v>41</v>
      </c>
      <c r="G151" t="s">
        <v>551</v>
      </c>
      <c r="H151">
        <v>33</v>
      </c>
      <c r="I151">
        <v>2400</v>
      </c>
      <c r="J151">
        <v>12000</v>
      </c>
      <c r="K151">
        <v>32500</v>
      </c>
      <c r="L151">
        <v>0</v>
      </c>
      <c r="M151">
        <v>0</v>
      </c>
      <c r="N151">
        <v>0</v>
      </c>
      <c r="O151">
        <v>0</v>
      </c>
      <c r="P151">
        <v>7800</v>
      </c>
      <c r="Q151" s="5">
        <f>unitlist3[[#This Row],[health]]/unitlist3[[#This Row],[buildtime]]</f>
        <v>0.24</v>
      </c>
      <c r="R151" s="5">
        <f>unitlist3[[#This Row],[dps]]/unitlist3[[#This Row],[metalcost]]</f>
        <v>0.25958333333333333</v>
      </c>
      <c r="Z151">
        <v>1</v>
      </c>
      <c r="AA151">
        <v>623</v>
      </c>
      <c r="AB151">
        <v>650</v>
      </c>
      <c r="AF151">
        <v>676</v>
      </c>
      <c r="AG151">
        <v>1014</v>
      </c>
      <c r="AH151" t="s">
        <v>41</v>
      </c>
      <c r="AI151" t="s">
        <v>114</v>
      </c>
      <c r="AJ151" t="s">
        <v>41</v>
      </c>
      <c r="AK151">
        <v>1</v>
      </c>
      <c r="AL151" t="s">
        <v>1585</v>
      </c>
      <c r="AM151" t="s">
        <v>41</v>
      </c>
    </row>
    <row r="152" spans="1:39">
      <c r="A152" t="s">
        <v>120</v>
      </c>
      <c r="B152" t="s">
        <v>38</v>
      </c>
      <c r="C152">
        <v>1</v>
      </c>
      <c r="D152" t="s">
        <v>121</v>
      </c>
      <c r="E152" t="s">
        <v>122</v>
      </c>
      <c r="F152" t="s">
        <v>41</v>
      </c>
      <c r="G152" t="s">
        <v>123</v>
      </c>
      <c r="H152">
        <v>24</v>
      </c>
      <c r="I152">
        <v>270</v>
      </c>
      <c r="J152">
        <v>2400</v>
      </c>
      <c r="K152">
        <v>3000</v>
      </c>
      <c r="L152">
        <v>0</v>
      </c>
      <c r="M152">
        <v>0</v>
      </c>
      <c r="N152">
        <v>0</v>
      </c>
      <c r="O152">
        <v>70</v>
      </c>
      <c r="P152">
        <v>1530</v>
      </c>
      <c r="Q152" s="5">
        <f>unitlist3[[#This Row],[health]]/unitlist3[[#This Row],[buildtime]]</f>
        <v>0.51</v>
      </c>
      <c r="R152" s="5">
        <f>unitlist3[[#This Row],[dps]]/unitlist3[[#This Row],[metalcost]]</f>
        <v>0.25925925925925924</v>
      </c>
      <c r="V152">
        <v>1</v>
      </c>
      <c r="AA152">
        <v>70</v>
      </c>
      <c r="AB152">
        <v>370</v>
      </c>
      <c r="AF152">
        <v>509</v>
      </c>
      <c r="AG152">
        <v>764</v>
      </c>
      <c r="AH152" t="s">
        <v>41</v>
      </c>
      <c r="AI152" t="s">
        <v>124</v>
      </c>
      <c r="AJ152" t="s">
        <v>41</v>
      </c>
      <c r="AK152">
        <v>1</v>
      </c>
      <c r="AL152" t="s">
        <v>1289</v>
      </c>
      <c r="AM152" t="s">
        <v>41</v>
      </c>
    </row>
    <row r="153" spans="1:39">
      <c r="A153" t="s">
        <v>210</v>
      </c>
      <c r="B153" t="s">
        <v>38</v>
      </c>
      <c r="C153">
        <v>2</v>
      </c>
      <c r="D153" t="s">
        <v>211</v>
      </c>
      <c r="E153" t="s">
        <v>212</v>
      </c>
      <c r="F153" t="s">
        <v>41</v>
      </c>
      <c r="G153" t="s">
        <v>213</v>
      </c>
      <c r="H153">
        <v>28</v>
      </c>
      <c r="I153">
        <v>950</v>
      </c>
      <c r="J153">
        <v>13000</v>
      </c>
      <c r="K153">
        <v>17200</v>
      </c>
      <c r="L153">
        <v>0</v>
      </c>
      <c r="M153">
        <v>0</v>
      </c>
      <c r="N153">
        <v>0</v>
      </c>
      <c r="O153">
        <v>65</v>
      </c>
      <c r="P153">
        <v>4650</v>
      </c>
      <c r="Q153" s="5">
        <f>unitlist3[[#This Row],[health]]/unitlist3[[#This Row],[buildtime]]</f>
        <v>0.27034883720930231</v>
      </c>
      <c r="R153" s="5">
        <f>unitlist3[[#This Row],[dps]]/unitlist3[[#This Row],[metalcost]]</f>
        <v>0.25789473684210529</v>
      </c>
      <c r="AA153">
        <v>245</v>
      </c>
      <c r="AB153">
        <v>460</v>
      </c>
      <c r="AF153">
        <v>494</v>
      </c>
      <c r="AG153">
        <v>741</v>
      </c>
      <c r="AH153" t="s">
        <v>41</v>
      </c>
      <c r="AI153" t="s">
        <v>124</v>
      </c>
      <c r="AJ153" t="s">
        <v>41</v>
      </c>
      <c r="AK153">
        <v>1</v>
      </c>
      <c r="AL153" t="s">
        <v>1314</v>
      </c>
      <c r="AM153" t="s">
        <v>41</v>
      </c>
    </row>
    <row r="154" spans="1:39" hidden="1">
      <c r="A154" t="s">
        <v>1119</v>
      </c>
      <c r="B154" t="s">
        <v>806</v>
      </c>
      <c r="C154">
        <v>2</v>
      </c>
      <c r="D154" t="s">
        <v>1120</v>
      </c>
      <c r="E154" t="s">
        <v>516</v>
      </c>
      <c r="F154" t="s">
        <v>41</v>
      </c>
      <c r="G154" t="s">
        <v>517</v>
      </c>
      <c r="H154">
        <v>61</v>
      </c>
      <c r="I154">
        <v>1650</v>
      </c>
      <c r="J154">
        <v>32000</v>
      </c>
      <c r="K154">
        <v>28000</v>
      </c>
      <c r="L154">
        <v>0</v>
      </c>
      <c r="M154">
        <v>0</v>
      </c>
      <c r="N154">
        <v>0</v>
      </c>
      <c r="O154">
        <v>0</v>
      </c>
      <c r="P154">
        <v>1670</v>
      </c>
      <c r="Q154" s="5">
        <f>unitlist3[[#This Row],[health]]/unitlist3[[#This Row],[buildtime]]</f>
        <v>5.9642857142857143E-2</v>
      </c>
      <c r="R154" s="5">
        <f>unitlist3[[#This Row],[dps]]/unitlist3[[#This Row],[metalcost]]</f>
        <v>0.25272727272727274</v>
      </c>
      <c r="Z154">
        <v>1</v>
      </c>
      <c r="AA154">
        <v>417</v>
      </c>
      <c r="AB154">
        <v>2400</v>
      </c>
      <c r="AF154">
        <v>600</v>
      </c>
      <c r="AG154">
        <v>2400</v>
      </c>
      <c r="AH154" t="s">
        <v>41</v>
      </c>
      <c r="AI154" t="s">
        <v>88</v>
      </c>
      <c r="AJ154" t="s">
        <v>41</v>
      </c>
      <c r="AK154">
        <v>1</v>
      </c>
      <c r="AL154" t="s">
        <v>1619</v>
      </c>
      <c r="AM154" t="s">
        <v>41</v>
      </c>
    </row>
    <row r="155" spans="1:39">
      <c r="A155" t="s">
        <v>1225</v>
      </c>
      <c r="B155" t="s">
        <v>806</v>
      </c>
      <c r="C155">
        <v>1</v>
      </c>
      <c r="D155" t="s">
        <v>1226</v>
      </c>
      <c r="E155" t="s">
        <v>1227</v>
      </c>
      <c r="F155" t="s">
        <v>41</v>
      </c>
      <c r="G155" t="s">
        <v>143</v>
      </c>
      <c r="H155">
        <v>36</v>
      </c>
      <c r="I155">
        <v>170</v>
      </c>
      <c r="J155">
        <v>2500</v>
      </c>
      <c r="K155">
        <v>3550</v>
      </c>
      <c r="L155">
        <v>0</v>
      </c>
      <c r="M155">
        <v>0</v>
      </c>
      <c r="N155">
        <v>0</v>
      </c>
      <c r="O155">
        <v>48</v>
      </c>
      <c r="P155">
        <v>750</v>
      </c>
      <c r="Q155" s="5">
        <f>unitlist3[[#This Row],[health]]/unitlist3[[#This Row],[buildtime]]</f>
        <v>0.21126760563380281</v>
      </c>
      <c r="R155" s="5">
        <f>unitlist3[[#This Row],[dps]]/unitlist3[[#This Row],[metalcost]]</f>
        <v>0.24705882352941178</v>
      </c>
      <c r="AA155">
        <v>42</v>
      </c>
      <c r="AB155">
        <v>710</v>
      </c>
      <c r="AF155">
        <v>299</v>
      </c>
      <c r="AG155">
        <v>449</v>
      </c>
      <c r="AH155" t="s">
        <v>41</v>
      </c>
      <c r="AI155" t="s">
        <v>124</v>
      </c>
      <c r="AJ155" t="s">
        <v>41</v>
      </c>
      <c r="AK155">
        <v>1</v>
      </c>
      <c r="AL155" t="s">
        <v>1672</v>
      </c>
      <c r="AM155" t="s">
        <v>41</v>
      </c>
    </row>
    <row r="156" spans="1:39">
      <c r="A156" t="s">
        <v>1167</v>
      </c>
      <c r="B156" t="s">
        <v>806</v>
      </c>
      <c r="C156">
        <v>1</v>
      </c>
      <c r="D156" t="s">
        <v>1168</v>
      </c>
      <c r="E156" t="s">
        <v>722</v>
      </c>
      <c r="F156" t="s">
        <v>41</v>
      </c>
      <c r="G156" t="s">
        <v>17</v>
      </c>
      <c r="H156">
        <v>18</v>
      </c>
      <c r="I156">
        <v>580</v>
      </c>
      <c r="J156">
        <v>4000</v>
      </c>
      <c r="K156">
        <v>7200</v>
      </c>
      <c r="L156">
        <v>0</v>
      </c>
      <c r="M156">
        <v>0</v>
      </c>
      <c r="N156">
        <v>0</v>
      </c>
      <c r="O156">
        <v>57</v>
      </c>
      <c r="P156">
        <v>1060</v>
      </c>
      <c r="Q156" s="5">
        <f>unitlist3[[#This Row],[health]]/unitlist3[[#This Row],[buildtime]]</f>
        <v>0.14722222222222223</v>
      </c>
      <c r="R156" s="5">
        <f>unitlist3[[#This Row],[dps]]/unitlist3[[#This Row],[metalcost]]</f>
        <v>0.23620689655172414</v>
      </c>
      <c r="T156">
        <v>1</v>
      </c>
      <c r="AA156">
        <v>137</v>
      </c>
      <c r="AB156">
        <v>500</v>
      </c>
      <c r="AD156">
        <v>400</v>
      </c>
      <c r="AF156">
        <v>400</v>
      </c>
      <c r="AG156">
        <v>600</v>
      </c>
      <c r="AH156" t="s">
        <v>41</v>
      </c>
      <c r="AI156" t="s">
        <v>168</v>
      </c>
      <c r="AJ156" t="s">
        <v>41</v>
      </c>
      <c r="AK156">
        <v>1</v>
      </c>
      <c r="AL156" t="s">
        <v>1642</v>
      </c>
      <c r="AM156" t="s">
        <v>41</v>
      </c>
    </row>
    <row r="157" spans="1:39">
      <c r="A157" t="s">
        <v>253</v>
      </c>
      <c r="B157" t="s">
        <v>38</v>
      </c>
      <c r="C157">
        <v>2</v>
      </c>
      <c r="D157" t="s">
        <v>254</v>
      </c>
      <c r="E157" t="s">
        <v>255</v>
      </c>
      <c r="F157" t="s">
        <v>41</v>
      </c>
      <c r="G157" t="s">
        <v>253</v>
      </c>
      <c r="H157">
        <v>25</v>
      </c>
      <c r="I157">
        <v>750</v>
      </c>
      <c r="J157">
        <v>15000</v>
      </c>
      <c r="K157">
        <v>16000</v>
      </c>
      <c r="L157">
        <v>0</v>
      </c>
      <c r="M157">
        <v>0</v>
      </c>
      <c r="N157">
        <v>0</v>
      </c>
      <c r="O157">
        <v>54</v>
      </c>
      <c r="P157">
        <v>5000</v>
      </c>
      <c r="Q157" s="5">
        <f>unitlist3[[#This Row],[health]]/unitlist3[[#This Row],[buildtime]]</f>
        <v>0.3125</v>
      </c>
      <c r="R157" s="5">
        <f>unitlist3[[#This Row],[dps]]/unitlist3[[#This Row],[metalcost]]</f>
        <v>0.23466666666666666</v>
      </c>
      <c r="S157">
        <v>1</v>
      </c>
      <c r="AA157">
        <v>176</v>
      </c>
      <c r="AB157">
        <v>765</v>
      </c>
      <c r="AD157">
        <v>279</v>
      </c>
      <c r="AF157">
        <v>372</v>
      </c>
      <c r="AG157">
        <v>558</v>
      </c>
      <c r="AH157" t="s">
        <v>41</v>
      </c>
      <c r="AI157" t="s">
        <v>54</v>
      </c>
      <c r="AJ157" t="s">
        <v>41</v>
      </c>
      <c r="AK157">
        <v>1</v>
      </c>
      <c r="AL157" t="s">
        <v>1322</v>
      </c>
      <c r="AM157" t="s">
        <v>41</v>
      </c>
    </row>
    <row r="158" spans="1:39">
      <c r="A158" t="s">
        <v>1101</v>
      </c>
      <c r="B158" t="s">
        <v>806</v>
      </c>
      <c r="C158">
        <v>2</v>
      </c>
      <c r="D158" t="s">
        <v>1102</v>
      </c>
      <c r="E158" t="s">
        <v>212</v>
      </c>
      <c r="F158" t="s">
        <v>41</v>
      </c>
      <c r="G158" t="s">
        <v>213</v>
      </c>
      <c r="H158">
        <v>24</v>
      </c>
      <c r="I158">
        <v>665</v>
      </c>
      <c r="J158">
        <v>10000</v>
      </c>
      <c r="K158">
        <v>11500</v>
      </c>
      <c r="L158">
        <v>0</v>
      </c>
      <c r="M158">
        <v>0</v>
      </c>
      <c r="N158">
        <v>0</v>
      </c>
      <c r="O158">
        <v>71</v>
      </c>
      <c r="P158">
        <v>5300</v>
      </c>
      <c r="Q158" s="5">
        <f>unitlist3[[#This Row],[health]]/unitlist3[[#This Row],[buildtime]]</f>
        <v>0.46086956521739131</v>
      </c>
      <c r="R158" s="5">
        <f>unitlist3[[#This Row],[dps]]/unitlist3[[#This Row],[metalcost]]</f>
        <v>0.23458646616541354</v>
      </c>
      <c r="AA158">
        <v>156</v>
      </c>
      <c r="AB158">
        <v>410</v>
      </c>
      <c r="AF158">
        <v>462</v>
      </c>
      <c r="AG158">
        <v>693</v>
      </c>
      <c r="AH158" t="s">
        <v>41</v>
      </c>
      <c r="AI158" t="s">
        <v>124</v>
      </c>
      <c r="AJ158" t="s">
        <v>41</v>
      </c>
      <c r="AK158">
        <v>1</v>
      </c>
      <c r="AL158" t="s">
        <v>1612</v>
      </c>
      <c r="AM158" t="s">
        <v>41</v>
      </c>
    </row>
    <row r="159" spans="1:39">
      <c r="A159" t="s">
        <v>1152</v>
      </c>
      <c r="B159" t="s">
        <v>806</v>
      </c>
      <c r="C159">
        <v>1</v>
      </c>
      <c r="D159" t="s">
        <v>1153</v>
      </c>
      <c r="E159" t="s">
        <v>122</v>
      </c>
      <c r="F159" t="s">
        <v>41</v>
      </c>
      <c r="G159" t="s">
        <v>123</v>
      </c>
      <c r="H159">
        <v>11</v>
      </c>
      <c r="I159">
        <v>300</v>
      </c>
      <c r="J159">
        <v>3100</v>
      </c>
      <c r="K159">
        <v>3500</v>
      </c>
      <c r="L159">
        <v>0</v>
      </c>
      <c r="M159">
        <v>0</v>
      </c>
      <c r="N159">
        <v>0</v>
      </c>
      <c r="O159">
        <v>67</v>
      </c>
      <c r="P159">
        <v>1720</v>
      </c>
      <c r="Q159" s="5">
        <f>unitlist3[[#This Row],[health]]/unitlist3[[#This Row],[buildtime]]</f>
        <v>0.49142857142857144</v>
      </c>
      <c r="R159" s="5">
        <f>unitlist3[[#This Row],[dps]]/unitlist3[[#This Row],[metalcost]]</f>
        <v>0.23333333333333334</v>
      </c>
      <c r="V159">
        <v>1</v>
      </c>
      <c r="AA159">
        <v>70</v>
      </c>
      <c r="AB159">
        <v>370</v>
      </c>
      <c r="AF159">
        <v>491</v>
      </c>
      <c r="AG159">
        <v>737</v>
      </c>
      <c r="AH159" t="s">
        <v>41</v>
      </c>
      <c r="AI159" t="s">
        <v>124</v>
      </c>
      <c r="AJ159" t="s">
        <v>41</v>
      </c>
      <c r="AK159">
        <v>1</v>
      </c>
      <c r="AL159" t="s">
        <v>1634</v>
      </c>
      <c r="AM159" t="s">
        <v>41</v>
      </c>
    </row>
    <row r="160" spans="1:39">
      <c r="A160" t="s">
        <v>1169</v>
      </c>
      <c r="B160" t="s">
        <v>806</v>
      </c>
      <c r="C160">
        <v>2</v>
      </c>
      <c r="D160" t="s">
        <v>1170</v>
      </c>
      <c r="E160" t="s">
        <v>1171</v>
      </c>
      <c r="F160" t="s">
        <v>41</v>
      </c>
      <c r="G160" t="s">
        <v>1169</v>
      </c>
      <c r="H160">
        <v>36</v>
      </c>
      <c r="I160">
        <v>2200</v>
      </c>
      <c r="J160">
        <v>35000</v>
      </c>
      <c r="K160">
        <v>51000</v>
      </c>
      <c r="L160">
        <v>0</v>
      </c>
      <c r="M160">
        <v>0</v>
      </c>
      <c r="N160">
        <v>0</v>
      </c>
      <c r="O160">
        <v>23</v>
      </c>
      <c r="P160">
        <v>15600</v>
      </c>
      <c r="Q160" s="5">
        <f>unitlist3[[#This Row],[health]]/unitlist3[[#This Row],[buildtime]]</f>
        <v>0.30588235294117649</v>
      </c>
      <c r="R160" s="5">
        <f>unitlist3[[#This Row],[dps]]/unitlist3[[#This Row],[metalcost]]</f>
        <v>0.22863636363636364</v>
      </c>
      <c r="AA160">
        <v>503</v>
      </c>
      <c r="AB160">
        <v>650</v>
      </c>
      <c r="AF160">
        <v>510</v>
      </c>
      <c r="AG160">
        <v>765</v>
      </c>
      <c r="AH160" t="s">
        <v>41</v>
      </c>
      <c r="AI160" t="s">
        <v>128</v>
      </c>
      <c r="AJ160" t="s">
        <v>41</v>
      </c>
      <c r="AK160">
        <v>1</v>
      </c>
      <c r="AL160" t="s">
        <v>1643</v>
      </c>
      <c r="AM160" t="s">
        <v>41</v>
      </c>
    </row>
    <row r="161" spans="1:39">
      <c r="A161" t="s">
        <v>1136</v>
      </c>
      <c r="B161" t="s">
        <v>806</v>
      </c>
      <c r="C161">
        <v>2</v>
      </c>
      <c r="D161" t="s">
        <v>1137</v>
      </c>
      <c r="E161" t="s">
        <v>725</v>
      </c>
      <c r="F161" t="s">
        <v>41</v>
      </c>
      <c r="G161" t="s">
        <v>726</v>
      </c>
      <c r="H161">
        <v>17</v>
      </c>
      <c r="I161">
        <v>730</v>
      </c>
      <c r="J161">
        <v>14000</v>
      </c>
      <c r="K161">
        <v>18000</v>
      </c>
      <c r="L161">
        <v>0</v>
      </c>
      <c r="M161">
        <v>0</v>
      </c>
      <c r="N161">
        <v>0</v>
      </c>
      <c r="O161">
        <v>84</v>
      </c>
      <c r="P161">
        <v>1610</v>
      </c>
      <c r="Q161" s="5">
        <f>unitlist3[[#This Row],[health]]/unitlist3[[#This Row],[buildtime]]</f>
        <v>8.9444444444444438E-2</v>
      </c>
      <c r="R161" s="5">
        <f>unitlist3[[#This Row],[dps]]/unitlist3[[#This Row],[metalcost]]</f>
        <v>0.21780821917808219</v>
      </c>
      <c r="T161">
        <v>1</v>
      </c>
      <c r="AA161">
        <v>159</v>
      </c>
      <c r="AB161">
        <v>400</v>
      </c>
      <c r="AD161">
        <v>525</v>
      </c>
      <c r="AF161">
        <v>390</v>
      </c>
      <c r="AG161">
        <v>585</v>
      </c>
      <c r="AH161" t="s">
        <v>41</v>
      </c>
      <c r="AI161" t="s">
        <v>168</v>
      </c>
      <c r="AJ161" t="s">
        <v>41</v>
      </c>
      <c r="AK161">
        <v>1</v>
      </c>
      <c r="AL161" t="s">
        <v>1628</v>
      </c>
      <c r="AM161" t="s">
        <v>41</v>
      </c>
    </row>
    <row r="162" spans="1:39">
      <c r="A162" t="s">
        <v>640</v>
      </c>
      <c r="B162" t="s">
        <v>38</v>
      </c>
      <c r="C162">
        <v>2</v>
      </c>
      <c r="D162" t="s">
        <v>641</v>
      </c>
      <c r="E162" t="s">
        <v>642</v>
      </c>
      <c r="F162" t="s">
        <v>41</v>
      </c>
      <c r="G162" t="s">
        <v>643</v>
      </c>
      <c r="H162">
        <v>39</v>
      </c>
      <c r="I162">
        <v>1150</v>
      </c>
      <c r="J162">
        <v>30000</v>
      </c>
      <c r="K162">
        <v>40000</v>
      </c>
      <c r="L162">
        <v>0</v>
      </c>
      <c r="M162">
        <v>0</v>
      </c>
      <c r="N162">
        <v>0</v>
      </c>
      <c r="O162">
        <v>51</v>
      </c>
      <c r="P162">
        <v>870</v>
      </c>
      <c r="Q162" s="5">
        <f>unitlist3[[#This Row],[health]]/unitlist3[[#This Row],[buildtime]]</f>
        <v>2.1749999999999999E-2</v>
      </c>
      <c r="R162" s="5">
        <f>unitlist3[[#This Row],[dps]]/unitlist3[[#This Row],[metalcost]]</f>
        <v>0.21739130434782608</v>
      </c>
      <c r="AA162">
        <v>250</v>
      </c>
      <c r="AB162">
        <v>72000</v>
      </c>
      <c r="AE162">
        <v>50</v>
      </c>
      <c r="AF162">
        <v>450</v>
      </c>
      <c r="AG162">
        <v>675</v>
      </c>
      <c r="AH162" t="s">
        <v>41</v>
      </c>
      <c r="AI162" t="s">
        <v>104</v>
      </c>
      <c r="AJ162" t="s">
        <v>41</v>
      </c>
      <c r="AK162">
        <v>1</v>
      </c>
      <c r="AL162" t="s">
        <v>1427</v>
      </c>
      <c r="AM162" t="s">
        <v>41</v>
      </c>
    </row>
    <row r="163" spans="1:39">
      <c r="A163" t="s">
        <v>1043</v>
      </c>
      <c r="B163" t="s">
        <v>806</v>
      </c>
      <c r="C163">
        <v>2</v>
      </c>
      <c r="D163" t="s">
        <v>1044</v>
      </c>
      <c r="E163" t="s">
        <v>508</v>
      </c>
      <c r="F163" t="s">
        <v>41</v>
      </c>
      <c r="G163" t="s">
        <v>509</v>
      </c>
      <c r="H163">
        <v>28</v>
      </c>
      <c r="I163">
        <v>400</v>
      </c>
      <c r="J163">
        <v>4400</v>
      </c>
      <c r="K163">
        <v>6500</v>
      </c>
      <c r="L163">
        <v>0</v>
      </c>
      <c r="M163">
        <v>0</v>
      </c>
      <c r="N163">
        <v>0</v>
      </c>
      <c r="O163">
        <v>58</v>
      </c>
      <c r="P163">
        <v>1200</v>
      </c>
      <c r="Q163" s="5">
        <f>unitlist3[[#This Row],[health]]/unitlist3[[#This Row],[buildtime]]</f>
        <v>0.18461538461538463</v>
      </c>
      <c r="R163" s="5">
        <f>unitlist3[[#This Row],[dps]]/unitlist3[[#This Row],[metalcost]]</f>
        <v>0.21</v>
      </c>
      <c r="AA163">
        <v>84</v>
      </c>
      <c r="AB163">
        <v>800</v>
      </c>
      <c r="AF163">
        <v>299</v>
      </c>
      <c r="AG163">
        <v>449</v>
      </c>
      <c r="AH163" t="s">
        <v>41</v>
      </c>
      <c r="AI163" t="s">
        <v>124</v>
      </c>
      <c r="AJ163" t="s">
        <v>41</v>
      </c>
      <c r="AK163">
        <v>1</v>
      </c>
      <c r="AL163" t="s">
        <v>1582</v>
      </c>
      <c r="AM163" t="s">
        <v>41</v>
      </c>
    </row>
    <row r="164" spans="1:39">
      <c r="A164" t="s">
        <v>1034</v>
      </c>
      <c r="B164" t="s">
        <v>806</v>
      </c>
      <c r="C164">
        <v>2</v>
      </c>
      <c r="D164" t="s">
        <v>1035</v>
      </c>
      <c r="E164" t="s">
        <v>642</v>
      </c>
      <c r="F164" t="s">
        <v>41</v>
      </c>
      <c r="G164" t="s">
        <v>1576</v>
      </c>
      <c r="H164">
        <v>44</v>
      </c>
      <c r="I164">
        <v>1250</v>
      </c>
      <c r="J164">
        <v>32000</v>
      </c>
      <c r="K164">
        <v>42000</v>
      </c>
      <c r="L164">
        <v>0</v>
      </c>
      <c r="M164">
        <v>0</v>
      </c>
      <c r="N164">
        <v>0</v>
      </c>
      <c r="O164">
        <v>51</v>
      </c>
      <c r="P164">
        <v>870</v>
      </c>
      <c r="Q164" s="5">
        <f>unitlist3[[#This Row],[health]]/unitlist3[[#This Row],[buildtime]]</f>
        <v>2.0714285714285713E-2</v>
      </c>
      <c r="R164" s="5">
        <f>unitlist3[[#This Row],[dps]]/unitlist3[[#This Row],[metalcost]]</f>
        <v>0.2</v>
      </c>
      <c r="AA164">
        <v>250</v>
      </c>
      <c r="AB164">
        <v>72000</v>
      </c>
      <c r="AE164">
        <v>50</v>
      </c>
      <c r="AF164">
        <v>450</v>
      </c>
      <c r="AG164">
        <v>675</v>
      </c>
      <c r="AH164" t="s">
        <v>41</v>
      </c>
      <c r="AI164" t="s">
        <v>104</v>
      </c>
      <c r="AJ164" t="s">
        <v>41</v>
      </c>
      <c r="AK164">
        <v>1</v>
      </c>
      <c r="AL164" t="s">
        <v>1577</v>
      </c>
      <c r="AM164" t="s">
        <v>41</v>
      </c>
    </row>
    <row r="165" spans="1:39">
      <c r="A165" t="s">
        <v>1081</v>
      </c>
      <c r="B165" t="s">
        <v>806</v>
      </c>
      <c r="C165">
        <v>2</v>
      </c>
      <c r="D165" t="s">
        <v>1082</v>
      </c>
      <c r="E165" t="s">
        <v>1083</v>
      </c>
      <c r="F165" t="s">
        <v>41</v>
      </c>
      <c r="G165" t="s">
        <v>1081</v>
      </c>
      <c r="H165">
        <v>24</v>
      </c>
      <c r="I165">
        <v>1050</v>
      </c>
      <c r="J165">
        <v>29000</v>
      </c>
      <c r="K165">
        <v>22200</v>
      </c>
      <c r="L165">
        <v>0</v>
      </c>
      <c r="M165">
        <v>0</v>
      </c>
      <c r="N165">
        <v>0</v>
      </c>
      <c r="O165">
        <v>51</v>
      </c>
      <c r="P165">
        <v>6300</v>
      </c>
      <c r="Q165" s="5">
        <f>unitlist3[[#This Row],[health]]/unitlist3[[#This Row],[buildtime]]</f>
        <v>0.28378378378378377</v>
      </c>
      <c r="R165" s="5">
        <f>unitlist3[[#This Row],[dps]]/unitlist3[[#This Row],[metalcost]]</f>
        <v>0.19619047619047619</v>
      </c>
      <c r="S165">
        <v>1</v>
      </c>
      <c r="AA165">
        <v>206</v>
      </c>
      <c r="AB165">
        <v>575</v>
      </c>
      <c r="AD165">
        <v>288</v>
      </c>
      <c r="AF165">
        <v>385</v>
      </c>
      <c r="AG165">
        <v>578</v>
      </c>
      <c r="AH165" t="s">
        <v>41</v>
      </c>
      <c r="AI165" t="s">
        <v>124</v>
      </c>
      <c r="AJ165" t="s">
        <v>41</v>
      </c>
      <c r="AK165">
        <v>1</v>
      </c>
      <c r="AL165" t="s">
        <v>1604</v>
      </c>
      <c r="AM165" t="s">
        <v>41</v>
      </c>
    </row>
    <row r="166" spans="1:39">
      <c r="A166" t="s">
        <v>720</v>
      </c>
      <c r="B166" t="s">
        <v>38</v>
      </c>
      <c r="C166">
        <v>1</v>
      </c>
      <c r="D166" t="s">
        <v>721</v>
      </c>
      <c r="E166" t="s">
        <v>722</v>
      </c>
      <c r="F166" t="s">
        <v>41</v>
      </c>
      <c r="G166" t="s">
        <v>17</v>
      </c>
      <c r="H166">
        <v>16</v>
      </c>
      <c r="I166">
        <v>440</v>
      </c>
      <c r="J166">
        <v>3100</v>
      </c>
      <c r="K166">
        <v>5800</v>
      </c>
      <c r="L166">
        <v>0</v>
      </c>
      <c r="M166">
        <v>0</v>
      </c>
      <c r="N166">
        <v>0</v>
      </c>
      <c r="O166">
        <v>66</v>
      </c>
      <c r="P166">
        <v>840</v>
      </c>
      <c r="Q166" s="5">
        <f>unitlist3[[#This Row],[health]]/unitlist3[[#This Row],[buildtime]]</f>
        <v>0.14482758620689656</v>
      </c>
      <c r="R166" s="5">
        <f>unitlist3[[#This Row],[dps]]/unitlist3[[#This Row],[metalcost]]</f>
        <v>0.19545454545454546</v>
      </c>
      <c r="T166">
        <v>1</v>
      </c>
      <c r="AA166">
        <v>86</v>
      </c>
      <c r="AB166">
        <v>500</v>
      </c>
      <c r="AD166">
        <v>400</v>
      </c>
      <c r="AF166">
        <v>400</v>
      </c>
      <c r="AG166">
        <v>600</v>
      </c>
      <c r="AH166" t="s">
        <v>41</v>
      </c>
      <c r="AI166" t="s">
        <v>168</v>
      </c>
      <c r="AJ166" t="s">
        <v>41</v>
      </c>
      <c r="AK166">
        <v>1</v>
      </c>
      <c r="AL166" t="s">
        <v>1447</v>
      </c>
      <c r="AM166" t="s">
        <v>41</v>
      </c>
    </row>
    <row r="167" spans="1:39" hidden="1">
      <c r="A167" t="s">
        <v>856</v>
      </c>
      <c r="B167" t="s">
        <v>806</v>
      </c>
      <c r="C167">
        <v>2</v>
      </c>
      <c r="D167" t="s">
        <v>857</v>
      </c>
      <c r="E167" t="s">
        <v>189</v>
      </c>
      <c r="F167" t="s">
        <v>41</v>
      </c>
      <c r="G167" t="s">
        <v>190</v>
      </c>
      <c r="H167">
        <v>53</v>
      </c>
      <c r="I167">
        <v>3400</v>
      </c>
      <c r="J167">
        <v>23000</v>
      </c>
      <c r="K167">
        <v>36000</v>
      </c>
      <c r="L167">
        <v>0</v>
      </c>
      <c r="M167">
        <v>0</v>
      </c>
      <c r="N167">
        <v>0</v>
      </c>
      <c r="O167">
        <v>53</v>
      </c>
      <c r="P167">
        <v>11100</v>
      </c>
      <c r="Q167" s="5">
        <f>unitlist3[[#This Row],[health]]/unitlist3[[#This Row],[buildtime]]</f>
        <v>0.30833333333333335</v>
      </c>
      <c r="R167" s="5">
        <f>unitlist3[[#This Row],[dps]]/unitlist3[[#This Row],[metalcost]]</f>
        <v>0.1938235294117647</v>
      </c>
      <c r="W167">
        <v>1</v>
      </c>
      <c r="AA167">
        <v>659</v>
      </c>
      <c r="AB167">
        <v>950</v>
      </c>
      <c r="AF167">
        <v>600</v>
      </c>
      <c r="AG167">
        <v>900</v>
      </c>
      <c r="AH167" t="s">
        <v>41</v>
      </c>
      <c r="AI167" t="s">
        <v>858</v>
      </c>
      <c r="AJ167" t="s">
        <v>41</v>
      </c>
      <c r="AK167">
        <v>1</v>
      </c>
      <c r="AL167" t="s">
        <v>1502</v>
      </c>
      <c r="AM167" t="s">
        <v>41</v>
      </c>
    </row>
    <row r="168" spans="1:39">
      <c r="A168" t="s">
        <v>723</v>
      </c>
      <c r="B168" t="s">
        <v>38</v>
      </c>
      <c r="C168">
        <v>2</v>
      </c>
      <c r="D168" t="s">
        <v>724</v>
      </c>
      <c r="E168" t="s">
        <v>725</v>
      </c>
      <c r="F168" t="s">
        <v>41</v>
      </c>
      <c r="G168" t="s">
        <v>726</v>
      </c>
      <c r="H168">
        <v>19</v>
      </c>
      <c r="I168">
        <v>950</v>
      </c>
      <c r="J168">
        <v>17000</v>
      </c>
      <c r="K168">
        <v>22000</v>
      </c>
      <c r="L168">
        <v>0</v>
      </c>
      <c r="M168">
        <v>0</v>
      </c>
      <c r="N168">
        <v>0</v>
      </c>
      <c r="O168">
        <v>81</v>
      </c>
      <c r="P168">
        <v>2350</v>
      </c>
      <c r="Q168" s="5">
        <f>unitlist3[[#This Row],[health]]/unitlist3[[#This Row],[buildtime]]</f>
        <v>0.10681818181818181</v>
      </c>
      <c r="R168" s="5">
        <f>unitlist3[[#This Row],[dps]]/unitlist3[[#This Row],[metalcost]]</f>
        <v>0.18421052631578946</v>
      </c>
      <c r="T168">
        <v>1</v>
      </c>
      <c r="AA168">
        <v>175</v>
      </c>
      <c r="AB168">
        <v>400</v>
      </c>
      <c r="AD168">
        <v>525</v>
      </c>
      <c r="AF168">
        <v>390</v>
      </c>
      <c r="AG168">
        <v>585</v>
      </c>
      <c r="AH168" t="s">
        <v>41</v>
      </c>
      <c r="AI168" t="s">
        <v>168</v>
      </c>
      <c r="AJ168" t="s">
        <v>41</v>
      </c>
      <c r="AK168">
        <v>1</v>
      </c>
      <c r="AL168" t="s">
        <v>1448</v>
      </c>
      <c r="AM168" t="s">
        <v>41</v>
      </c>
    </row>
    <row r="169" spans="1:39" hidden="1">
      <c r="A169" t="s">
        <v>187</v>
      </c>
      <c r="B169" t="s">
        <v>38</v>
      </c>
      <c r="C169">
        <v>2</v>
      </c>
      <c r="D169" t="s">
        <v>188</v>
      </c>
      <c r="E169" t="s">
        <v>189</v>
      </c>
      <c r="F169" t="s">
        <v>41</v>
      </c>
      <c r="G169" t="s">
        <v>190</v>
      </c>
      <c r="H169">
        <v>40</v>
      </c>
      <c r="I169">
        <v>3300</v>
      </c>
      <c r="J169">
        <v>22000</v>
      </c>
      <c r="K169">
        <v>35000</v>
      </c>
      <c r="L169">
        <v>0</v>
      </c>
      <c r="M169">
        <v>0</v>
      </c>
      <c r="N169">
        <v>0</v>
      </c>
      <c r="O169">
        <v>58</v>
      </c>
      <c r="P169">
        <v>8900</v>
      </c>
      <c r="Q169" s="5">
        <f>unitlist3[[#This Row],[health]]/unitlist3[[#This Row],[buildtime]]</f>
        <v>0.25428571428571428</v>
      </c>
      <c r="R169" s="5">
        <f>unitlist3[[#This Row],[dps]]/unitlist3[[#This Row],[metalcost]]</f>
        <v>0.18181818181818182</v>
      </c>
      <c r="W169">
        <v>1</v>
      </c>
      <c r="AA169">
        <v>600</v>
      </c>
      <c r="AB169">
        <v>880</v>
      </c>
      <c r="AF169">
        <v>600</v>
      </c>
      <c r="AG169">
        <v>900</v>
      </c>
      <c r="AH169" t="s">
        <v>41</v>
      </c>
      <c r="AI169" t="s">
        <v>99</v>
      </c>
      <c r="AJ169" t="s">
        <v>41</v>
      </c>
      <c r="AK169">
        <v>1</v>
      </c>
      <c r="AL169" t="s">
        <v>1307</v>
      </c>
      <c r="AM169" t="s">
        <v>41</v>
      </c>
    </row>
    <row r="170" spans="1:39">
      <c r="A170" t="s">
        <v>984</v>
      </c>
      <c r="B170" t="s">
        <v>806</v>
      </c>
      <c r="C170">
        <v>2</v>
      </c>
      <c r="D170" t="s">
        <v>985</v>
      </c>
      <c r="E170" t="s">
        <v>986</v>
      </c>
      <c r="F170" t="s">
        <v>41</v>
      </c>
      <c r="G170" t="s">
        <v>987</v>
      </c>
      <c r="H170">
        <v>35</v>
      </c>
      <c r="I170">
        <v>1650</v>
      </c>
      <c r="J170">
        <v>22000</v>
      </c>
      <c r="K170">
        <v>26100</v>
      </c>
      <c r="L170">
        <v>0</v>
      </c>
      <c r="M170">
        <v>0</v>
      </c>
      <c r="N170">
        <v>0</v>
      </c>
      <c r="O170">
        <v>41</v>
      </c>
      <c r="P170">
        <v>7800</v>
      </c>
      <c r="Q170" s="5">
        <f>unitlist3[[#This Row],[health]]/unitlist3[[#This Row],[buildtime]]</f>
        <v>0.2988505747126437</v>
      </c>
      <c r="R170" s="5">
        <f>unitlist3[[#This Row],[dps]]/unitlist3[[#This Row],[metalcost]]</f>
        <v>0.18181818181818182</v>
      </c>
      <c r="AA170">
        <v>300</v>
      </c>
      <c r="AB170">
        <v>650</v>
      </c>
      <c r="AF170">
        <v>395</v>
      </c>
      <c r="AG170">
        <v>593</v>
      </c>
      <c r="AH170" t="s">
        <v>41</v>
      </c>
      <c r="AI170" t="s">
        <v>124</v>
      </c>
      <c r="AJ170" t="s">
        <v>41</v>
      </c>
      <c r="AK170">
        <v>1</v>
      </c>
      <c r="AL170" t="s">
        <v>1556</v>
      </c>
      <c r="AM170" t="s">
        <v>41</v>
      </c>
    </row>
    <row r="171" spans="1:39" hidden="1">
      <c r="A171" t="s">
        <v>1092</v>
      </c>
      <c r="B171" t="s">
        <v>806</v>
      </c>
      <c r="C171">
        <v>1</v>
      </c>
      <c r="D171" t="s">
        <v>1093</v>
      </c>
      <c r="E171" t="s">
        <v>414</v>
      </c>
      <c r="F171" t="s">
        <v>41</v>
      </c>
      <c r="G171" t="s">
        <v>415</v>
      </c>
      <c r="H171">
        <v>32</v>
      </c>
      <c r="I171">
        <v>1300</v>
      </c>
      <c r="J171">
        <v>13500</v>
      </c>
      <c r="K171">
        <v>19300</v>
      </c>
      <c r="L171">
        <v>0</v>
      </c>
      <c r="M171">
        <v>0</v>
      </c>
      <c r="N171">
        <v>0</v>
      </c>
      <c r="O171">
        <v>0</v>
      </c>
      <c r="P171">
        <v>3250</v>
      </c>
      <c r="Q171" s="5">
        <f>unitlist3[[#This Row],[health]]/unitlist3[[#This Row],[buildtime]]</f>
        <v>0.16839378238341968</v>
      </c>
      <c r="R171" s="5">
        <f>unitlist3[[#This Row],[dps]]/unitlist3[[#This Row],[metalcost]]</f>
        <v>0.17</v>
      </c>
      <c r="Z171">
        <v>1</v>
      </c>
      <c r="AA171">
        <v>221</v>
      </c>
      <c r="AB171">
        <v>1245</v>
      </c>
      <c r="AF171">
        <v>455</v>
      </c>
      <c r="AG171">
        <v>683</v>
      </c>
      <c r="AH171" t="s">
        <v>41</v>
      </c>
      <c r="AI171" t="s">
        <v>862</v>
      </c>
      <c r="AJ171" t="s">
        <v>41</v>
      </c>
      <c r="AK171">
        <v>1</v>
      </c>
      <c r="AL171" t="s">
        <v>1608</v>
      </c>
      <c r="AM171" t="s">
        <v>41</v>
      </c>
    </row>
    <row r="172" spans="1:39" hidden="1">
      <c r="A172" t="s">
        <v>412</v>
      </c>
      <c r="B172" t="s">
        <v>38</v>
      </c>
      <c r="C172">
        <v>1</v>
      </c>
      <c r="D172" t="s">
        <v>413</v>
      </c>
      <c r="E172" t="s">
        <v>414</v>
      </c>
      <c r="F172" t="s">
        <v>41</v>
      </c>
      <c r="G172" t="s">
        <v>415</v>
      </c>
      <c r="H172">
        <v>36</v>
      </c>
      <c r="I172">
        <v>1250</v>
      </c>
      <c r="J172">
        <v>12500</v>
      </c>
      <c r="K172">
        <v>21400</v>
      </c>
      <c r="L172">
        <v>0</v>
      </c>
      <c r="M172">
        <v>0</v>
      </c>
      <c r="N172">
        <v>0</v>
      </c>
      <c r="O172">
        <v>0</v>
      </c>
      <c r="P172">
        <v>3050</v>
      </c>
      <c r="Q172" s="5">
        <f>unitlist3[[#This Row],[health]]/unitlist3[[#This Row],[buildtime]]</f>
        <v>0.1425233644859813</v>
      </c>
      <c r="R172" s="5">
        <f>unitlist3[[#This Row],[dps]]/unitlist3[[#This Row],[metalcost]]</f>
        <v>0.1696</v>
      </c>
      <c r="Z172">
        <v>1</v>
      </c>
      <c r="AA172">
        <v>212</v>
      </c>
      <c r="AB172">
        <v>1220</v>
      </c>
      <c r="AF172">
        <v>455</v>
      </c>
      <c r="AG172">
        <v>683</v>
      </c>
      <c r="AH172" t="s">
        <v>41</v>
      </c>
      <c r="AI172" t="s">
        <v>862</v>
      </c>
      <c r="AJ172" t="s">
        <v>41</v>
      </c>
      <c r="AK172">
        <v>1</v>
      </c>
      <c r="AL172" t="s">
        <v>1363</v>
      </c>
      <c r="AM172" t="s">
        <v>41</v>
      </c>
    </row>
    <row r="173" spans="1:39">
      <c r="A173" t="s">
        <v>998</v>
      </c>
      <c r="B173" t="s">
        <v>806</v>
      </c>
      <c r="C173">
        <v>2</v>
      </c>
      <c r="D173" t="s">
        <v>999</v>
      </c>
      <c r="E173" t="s">
        <v>879</v>
      </c>
      <c r="F173" t="s">
        <v>41</v>
      </c>
      <c r="G173" t="s">
        <v>1000</v>
      </c>
      <c r="H173">
        <v>34</v>
      </c>
      <c r="I173">
        <v>600</v>
      </c>
      <c r="J173">
        <v>5800</v>
      </c>
      <c r="K173">
        <v>6600</v>
      </c>
      <c r="L173">
        <v>0</v>
      </c>
      <c r="M173">
        <v>0</v>
      </c>
      <c r="N173">
        <v>0</v>
      </c>
      <c r="O173">
        <v>54</v>
      </c>
      <c r="P173">
        <v>610</v>
      </c>
      <c r="Q173" s="5">
        <f>unitlist3[[#This Row],[health]]/unitlist3[[#This Row],[buildtime]]</f>
        <v>9.2424242424242423E-2</v>
      </c>
      <c r="R173" s="5">
        <f>unitlist3[[#This Row],[dps]]/unitlist3[[#This Row],[metalcost]]</f>
        <v>0.16666666666666666</v>
      </c>
      <c r="AA173">
        <v>100</v>
      </c>
      <c r="AB173">
        <v>1210</v>
      </c>
      <c r="AF173">
        <v>371</v>
      </c>
      <c r="AG173">
        <v>556</v>
      </c>
      <c r="AH173" t="s">
        <v>41</v>
      </c>
      <c r="AI173" t="s">
        <v>104</v>
      </c>
      <c r="AJ173" t="s">
        <v>41</v>
      </c>
      <c r="AK173">
        <v>1</v>
      </c>
      <c r="AL173" t="s">
        <v>1561</v>
      </c>
      <c r="AM173" t="s">
        <v>41</v>
      </c>
    </row>
    <row r="174" spans="1:39">
      <c r="A174" t="s">
        <v>1040</v>
      </c>
      <c r="B174" t="s">
        <v>806</v>
      </c>
      <c r="C174">
        <v>2</v>
      </c>
      <c r="D174" t="s">
        <v>1041</v>
      </c>
      <c r="E174" t="s">
        <v>1042</v>
      </c>
      <c r="F174" t="s">
        <v>41</v>
      </c>
      <c r="G174" t="s">
        <v>1040</v>
      </c>
      <c r="H174">
        <v>49</v>
      </c>
      <c r="I174">
        <v>1200</v>
      </c>
      <c r="J174">
        <v>15500</v>
      </c>
      <c r="K174">
        <v>17100</v>
      </c>
      <c r="L174">
        <v>0</v>
      </c>
      <c r="M174">
        <v>10</v>
      </c>
      <c r="N174">
        <v>200</v>
      </c>
      <c r="O174">
        <v>75</v>
      </c>
      <c r="P174">
        <v>1560</v>
      </c>
      <c r="Q174" s="5">
        <f>unitlist3[[#This Row],[health]]/unitlist3[[#This Row],[buildtime]]</f>
        <v>9.1228070175438603E-2</v>
      </c>
      <c r="R174" s="5">
        <f>unitlist3[[#This Row],[dps]]/unitlist3[[#This Row],[metalcost]]</f>
        <v>0.16666666666666666</v>
      </c>
      <c r="S174">
        <v>1</v>
      </c>
      <c r="AA174">
        <v>200</v>
      </c>
      <c r="AB174">
        <v>300</v>
      </c>
      <c r="AC174">
        <v>150</v>
      </c>
      <c r="AE174">
        <v>900</v>
      </c>
      <c r="AF174">
        <v>600</v>
      </c>
      <c r="AG174">
        <v>900</v>
      </c>
      <c r="AH174" t="s">
        <v>148</v>
      </c>
      <c r="AI174" t="s">
        <v>158</v>
      </c>
      <c r="AJ174" t="s">
        <v>1580</v>
      </c>
      <c r="AK174">
        <v>1</v>
      </c>
      <c r="AL174" t="s">
        <v>1581</v>
      </c>
      <c r="AM174" t="s">
        <v>41</v>
      </c>
    </row>
    <row r="175" spans="1:39">
      <c r="A175" t="s">
        <v>1188</v>
      </c>
      <c r="B175" t="s">
        <v>806</v>
      </c>
      <c r="C175">
        <v>2</v>
      </c>
      <c r="D175" t="s">
        <v>1189</v>
      </c>
      <c r="E175" t="s">
        <v>1190</v>
      </c>
      <c r="F175" t="s">
        <v>41</v>
      </c>
      <c r="G175" t="s">
        <v>1191</v>
      </c>
      <c r="H175">
        <v>56</v>
      </c>
      <c r="I175">
        <v>1850</v>
      </c>
      <c r="J175">
        <v>49000</v>
      </c>
      <c r="K175">
        <v>31100</v>
      </c>
      <c r="L175">
        <v>0</v>
      </c>
      <c r="M175">
        <v>0</v>
      </c>
      <c r="N175">
        <v>0</v>
      </c>
      <c r="O175">
        <v>41</v>
      </c>
      <c r="P175">
        <v>3000</v>
      </c>
      <c r="Q175" s="5">
        <f>unitlist3[[#This Row],[health]]/unitlist3[[#This Row],[buildtime]]</f>
        <v>9.6463022508038579E-2</v>
      </c>
      <c r="R175" s="5">
        <f>unitlist3[[#This Row],[dps]]/unitlist3[[#This Row],[metalcost]]</f>
        <v>0.16216216216216217</v>
      </c>
      <c r="AA175">
        <v>300</v>
      </c>
      <c r="AB175">
        <v>1470</v>
      </c>
      <c r="AF175">
        <v>351</v>
      </c>
      <c r="AG175">
        <v>527</v>
      </c>
      <c r="AH175" t="s">
        <v>41</v>
      </c>
      <c r="AI175" t="s">
        <v>124</v>
      </c>
      <c r="AJ175" t="s">
        <v>41</v>
      </c>
      <c r="AK175">
        <v>1</v>
      </c>
      <c r="AL175" t="s">
        <v>1652</v>
      </c>
      <c r="AM175" t="s">
        <v>41</v>
      </c>
    </row>
    <row r="176" spans="1:39">
      <c r="A176" t="s">
        <v>1067</v>
      </c>
      <c r="B176" t="s">
        <v>806</v>
      </c>
      <c r="C176">
        <v>2</v>
      </c>
      <c r="D176" t="s">
        <v>1068</v>
      </c>
      <c r="E176" t="s">
        <v>1069</v>
      </c>
      <c r="F176" t="s">
        <v>41</v>
      </c>
      <c r="G176" t="s">
        <v>358</v>
      </c>
      <c r="H176">
        <v>32</v>
      </c>
      <c r="I176">
        <v>410</v>
      </c>
      <c r="J176">
        <v>2200</v>
      </c>
      <c r="K176">
        <v>5140</v>
      </c>
      <c r="L176">
        <v>0</v>
      </c>
      <c r="M176">
        <v>0</v>
      </c>
      <c r="N176">
        <v>0</v>
      </c>
      <c r="O176">
        <v>50</v>
      </c>
      <c r="P176">
        <v>940</v>
      </c>
      <c r="Q176" s="5">
        <f>unitlist3[[#This Row],[health]]/unitlist3[[#This Row],[buildtime]]</f>
        <v>0.1828793774319066</v>
      </c>
      <c r="R176" s="5">
        <f>unitlist3[[#This Row],[dps]]/unitlist3[[#This Row],[metalcost]]</f>
        <v>0.16097560975609757</v>
      </c>
      <c r="AA176">
        <v>66</v>
      </c>
      <c r="AB176">
        <v>850</v>
      </c>
      <c r="AF176">
        <v>300</v>
      </c>
      <c r="AG176">
        <v>450</v>
      </c>
      <c r="AH176" t="s">
        <v>41</v>
      </c>
      <c r="AI176" t="s">
        <v>124</v>
      </c>
      <c r="AJ176" t="s">
        <v>41</v>
      </c>
      <c r="AK176">
        <v>1</v>
      </c>
      <c r="AL176" t="s">
        <v>1596</v>
      </c>
      <c r="AM176" t="s">
        <v>41</v>
      </c>
    </row>
    <row r="177" spans="1:39" hidden="1">
      <c r="A177" t="s">
        <v>1185</v>
      </c>
      <c r="B177" t="s">
        <v>806</v>
      </c>
      <c r="C177">
        <v>2</v>
      </c>
      <c r="D177" t="s">
        <v>1186</v>
      </c>
      <c r="E177" t="s">
        <v>1187</v>
      </c>
      <c r="F177" t="s">
        <v>41</v>
      </c>
      <c r="G177" t="s">
        <v>97</v>
      </c>
      <c r="H177">
        <v>30</v>
      </c>
      <c r="I177">
        <v>2500</v>
      </c>
      <c r="J177">
        <v>17000</v>
      </c>
      <c r="K177">
        <v>25700</v>
      </c>
      <c r="L177">
        <v>0</v>
      </c>
      <c r="M177">
        <v>0</v>
      </c>
      <c r="N177">
        <v>0</v>
      </c>
      <c r="O177">
        <v>0</v>
      </c>
      <c r="P177">
        <v>4250</v>
      </c>
      <c r="Q177" s="5">
        <f>unitlist3[[#This Row],[health]]/unitlist3[[#This Row],[buildtime]]</f>
        <v>0.16536964980544747</v>
      </c>
      <c r="R177" s="5">
        <f>unitlist3[[#This Row],[dps]]/unitlist3[[#This Row],[metalcost]]</f>
        <v>0.16</v>
      </c>
      <c r="Z177">
        <v>1</v>
      </c>
      <c r="AA177">
        <v>400</v>
      </c>
      <c r="AB177">
        <v>1390</v>
      </c>
      <c r="AF177">
        <v>416</v>
      </c>
      <c r="AG177">
        <v>624</v>
      </c>
      <c r="AH177" t="s">
        <v>41</v>
      </c>
      <c r="AI177" t="s">
        <v>862</v>
      </c>
      <c r="AJ177" t="s">
        <v>41</v>
      </c>
      <c r="AK177">
        <v>1</v>
      </c>
      <c r="AL177" t="s">
        <v>1651</v>
      </c>
      <c r="AM177" t="s">
        <v>41</v>
      </c>
    </row>
    <row r="178" spans="1:39" hidden="1">
      <c r="A178" t="s">
        <v>94</v>
      </c>
      <c r="B178" t="s">
        <v>38</v>
      </c>
      <c r="C178">
        <v>2</v>
      </c>
      <c r="D178" t="s">
        <v>95</v>
      </c>
      <c r="E178" t="s">
        <v>96</v>
      </c>
      <c r="F178" t="s">
        <v>41</v>
      </c>
      <c r="G178" t="s">
        <v>97</v>
      </c>
      <c r="H178">
        <v>24</v>
      </c>
      <c r="I178">
        <v>2500</v>
      </c>
      <c r="J178">
        <v>17000</v>
      </c>
      <c r="K178">
        <v>27000</v>
      </c>
      <c r="L178">
        <v>0</v>
      </c>
      <c r="M178">
        <v>0</v>
      </c>
      <c r="N178">
        <v>0</v>
      </c>
      <c r="O178">
        <v>0</v>
      </c>
      <c r="P178">
        <v>4000</v>
      </c>
      <c r="Q178" s="5">
        <f>unitlist3[[#This Row],[health]]/unitlist3[[#This Row],[buildtime]]</f>
        <v>0.14814814814814814</v>
      </c>
      <c r="R178" s="5">
        <f>unitlist3[[#This Row],[dps]]/unitlist3[[#This Row],[metalcost]]</f>
        <v>0.15559999999999999</v>
      </c>
      <c r="Z178">
        <v>1</v>
      </c>
      <c r="AA178">
        <v>389</v>
      </c>
      <c r="AB178">
        <v>1380</v>
      </c>
      <c r="AF178">
        <v>442</v>
      </c>
      <c r="AG178">
        <v>663</v>
      </c>
      <c r="AH178" t="s">
        <v>98</v>
      </c>
      <c r="AI178" t="s">
        <v>862</v>
      </c>
      <c r="AJ178" t="s">
        <v>41</v>
      </c>
      <c r="AK178">
        <v>1</v>
      </c>
      <c r="AL178" t="s">
        <v>1284</v>
      </c>
      <c r="AM178" t="s">
        <v>41</v>
      </c>
    </row>
    <row r="179" spans="1:39">
      <c r="A179" t="s">
        <v>1021</v>
      </c>
      <c r="B179" t="s">
        <v>806</v>
      </c>
      <c r="C179">
        <v>3</v>
      </c>
      <c r="D179" t="s">
        <v>1022</v>
      </c>
      <c r="E179" t="s">
        <v>1023</v>
      </c>
      <c r="F179" t="s">
        <v>41</v>
      </c>
      <c r="G179" t="s">
        <v>1024</v>
      </c>
      <c r="H179">
        <v>145</v>
      </c>
      <c r="I179">
        <v>29000</v>
      </c>
      <c r="J179">
        <v>615000</v>
      </c>
      <c r="K179">
        <v>555000</v>
      </c>
      <c r="L179">
        <v>0</v>
      </c>
      <c r="M179">
        <v>300</v>
      </c>
      <c r="N179">
        <v>0</v>
      </c>
      <c r="O179">
        <v>34</v>
      </c>
      <c r="P179">
        <v>149000</v>
      </c>
      <c r="Q179" s="5">
        <f>unitlist3[[#This Row],[health]]/unitlist3[[#This Row],[buildtime]]</f>
        <v>0.26846846846846845</v>
      </c>
      <c r="R179" s="5">
        <f>unitlist3[[#This Row],[dps]]/unitlist3[[#This Row],[metalcost]]</f>
        <v>0.14437931034482759</v>
      </c>
      <c r="S179">
        <v>1</v>
      </c>
      <c r="AA179">
        <v>4187</v>
      </c>
      <c r="AB179">
        <v>950</v>
      </c>
      <c r="AF179">
        <v>845</v>
      </c>
      <c r="AG179">
        <v>1268</v>
      </c>
      <c r="AH179" t="s">
        <v>41</v>
      </c>
      <c r="AI179" t="s">
        <v>1025</v>
      </c>
      <c r="AJ179" t="s">
        <v>41</v>
      </c>
      <c r="AK179">
        <v>1</v>
      </c>
      <c r="AL179" t="s">
        <v>1572</v>
      </c>
      <c r="AM179" t="s">
        <v>41</v>
      </c>
    </row>
    <row r="180" spans="1:39" hidden="1">
      <c r="A180" t="s">
        <v>899</v>
      </c>
      <c r="B180" t="s">
        <v>806</v>
      </c>
      <c r="C180">
        <v>2</v>
      </c>
      <c r="D180" t="s">
        <v>895</v>
      </c>
      <c r="E180" t="s">
        <v>896</v>
      </c>
      <c r="F180" t="s">
        <v>41</v>
      </c>
      <c r="G180" t="s">
        <v>897</v>
      </c>
      <c r="H180">
        <v>21</v>
      </c>
      <c r="I180">
        <v>5100</v>
      </c>
      <c r="J180">
        <v>72000</v>
      </c>
      <c r="K180">
        <v>84200</v>
      </c>
      <c r="L180">
        <v>0</v>
      </c>
      <c r="M180">
        <v>0</v>
      </c>
      <c r="N180">
        <v>0</v>
      </c>
      <c r="O180">
        <v>115</v>
      </c>
      <c r="P180">
        <v>16700</v>
      </c>
      <c r="Q180" s="5">
        <f>unitlist3[[#This Row],[health]]/unitlist3[[#This Row],[buildtime]]</f>
        <v>0.19833729216152018</v>
      </c>
      <c r="R180" s="5">
        <f>unitlist3[[#This Row],[dps]]/unitlist3[[#This Row],[metalcost]]</f>
        <v>0.14215686274509803</v>
      </c>
      <c r="U180">
        <v>1</v>
      </c>
      <c r="AA180">
        <v>725</v>
      </c>
      <c r="AB180">
        <v>840</v>
      </c>
      <c r="AF180">
        <v>494</v>
      </c>
      <c r="AG180">
        <v>850</v>
      </c>
      <c r="AH180" t="s">
        <v>41</v>
      </c>
      <c r="AI180" t="s">
        <v>900</v>
      </c>
      <c r="AJ180" t="s">
        <v>41</v>
      </c>
      <c r="AK180">
        <v>1</v>
      </c>
      <c r="AL180" t="s">
        <v>1514</v>
      </c>
      <c r="AM180" t="s">
        <v>41</v>
      </c>
    </row>
    <row r="181" spans="1:39" hidden="1">
      <c r="A181" t="s">
        <v>199</v>
      </c>
      <c r="B181" t="s">
        <v>38</v>
      </c>
      <c r="C181">
        <v>2</v>
      </c>
      <c r="D181" t="s">
        <v>200</v>
      </c>
      <c r="E181" t="s">
        <v>201</v>
      </c>
      <c r="F181" t="s">
        <v>41</v>
      </c>
      <c r="G181" t="s">
        <v>202</v>
      </c>
      <c r="H181">
        <v>8</v>
      </c>
      <c r="I181">
        <v>1250</v>
      </c>
      <c r="J181">
        <v>22000</v>
      </c>
      <c r="K181">
        <v>24000</v>
      </c>
      <c r="L181">
        <v>0</v>
      </c>
      <c r="M181">
        <v>0</v>
      </c>
      <c r="N181">
        <v>0</v>
      </c>
      <c r="O181">
        <v>204</v>
      </c>
      <c r="P181">
        <v>3000</v>
      </c>
      <c r="Q181" s="5">
        <f>unitlist3[[#This Row],[health]]/unitlist3[[#This Row],[buildtime]]</f>
        <v>0.125</v>
      </c>
      <c r="R181" s="5">
        <f>unitlist3[[#This Row],[dps]]/unitlist3[[#This Row],[metalcost]]</f>
        <v>0.13439999999999999</v>
      </c>
      <c r="U181">
        <v>1</v>
      </c>
      <c r="AA181">
        <v>168</v>
      </c>
      <c r="AB181">
        <v>420</v>
      </c>
      <c r="AF181">
        <v>624</v>
      </c>
      <c r="AG181">
        <v>936</v>
      </c>
      <c r="AH181" t="s">
        <v>41</v>
      </c>
      <c r="AI181" t="s">
        <v>88</v>
      </c>
      <c r="AJ181" t="s">
        <v>41</v>
      </c>
      <c r="AK181">
        <v>1</v>
      </c>
      <c r="AL181" t="s">
        <v>1311</v>
      </c>
      <c r="AM181" t="s">
        <v>41</v>
      </c>
    </row>
    <row r="182" spans="1:39">
      <c r="A182" t="s">
        <v>852</v>
      </c>
      <c r="B182" t="s">
        <v>806</v>
      </c>
      <c r="C182">
        <v>2</v>
      </c>
      <c r="D182" t="s">
        <v>853</v>
      </c>
      <c r="E182" t="s">
        <v>854</v>
      </c>
      <c r="F182" t="s">
        <v>41</v>
      </c>
      <c r="G182" t="s">
        <v>855</v>
      </c>
      <c r="H182">
        <v>26</v>
      </c>
      <c r="I182">
        <v>1000</v>
      </c>
      <c r="J182">
        <v>23000</v>
      </c>
      <c r="K182">
        <v>23100</v>
      </c>
      <c r="L182">
        <v>0</v>
      </c>
      <c r="M182">
        <v>0</v>
      </c>
      <c r="N182">
        <v>0</v>
      </c>
      <c r="O182">
        <v>54</v>
      </c>
      <c r="P182">
        <v>2500</v>
      </c>
      <c r="Q182" s="5">
        <f>unitlist3[[#This Row],[health]]/unitlist3[[#This Row],[buildtime]]</f>
        <v>0.10822510822510822</v>
      </c>
      <c r="R182" s="5">
        <f>unitlist3[[#This Row],[dps]]/unitlist3[[#This Row],[metalcost]]</f>
        <v>0.13300000000000001</v>
      </c>
      <c r="AA182">
        <v>133</v>
      </c>
      <c r="AB182">
        <v>800</v>
      </c>
      <c r="AF182">
        <v>546</v>
      </c>
      <c r="AG182">
        <v>819</v>
      </c>
      <c r="AH182" t="s">
        <v>41</v>
      </c>
      <c r="AI182" t="s">
        <v>88</v>
      </c>
      <c r="AJ182" t="s">
        <v>41</v>
      </c>
      <c r="AK182">
        <v>1</v>
      </c>
      <c r="AL182" t="s">
        <v>1501</v>
      </c>
      <c r="AM182" t="s">
        <v>41</v>
      </c>
    </row>
    <row r="183" spans="1:39">
      <c r="A183" t="s">
        <v>877</v>
      </c>
      <c r="B183" t="s">
        <v>806</v>
      </c>
      <c r="C183">
        <v>3</v>
      </c>
      <c r="D183" t="s">
        <v>878</v>
      </c>
      <c r="E183" t="s">
        <v>879</v>
      </c>
      <c r="F183" t="s">
        <v>41</v>
      </c>
      <c r="G183" t="s">
        <v>880</v>
      </c>
      <c r="H183">
        <v>69</v>
      </c>
      <c r="I183">
        <v>4900</v>
      </c>
      <c r="J183">
        <v>80000</v>
      </c>
      <c r="K183">
        <v>127000</v>
      </c>
      <c r="L183">
        <v>0</v>
      </c>
      <c r="M183">
        <v>0</v>
      </c>
      <c r="N183">
        <v>0</v>
      </c>
      <c r="O183">
        <v>48</v>
      </c>
      <c r="P183">
        <v>6100</v>
      </c>
      <c r="Q183" s="5">
        <f>unitlist3[[#This Row],[health]]/unitlist3[[#This Row],[buildtime]]</f>
        <v>4.8031496062992125E-2</v>
      </c>
      <c r="R183" s="5">
        <f>unitlist3[[#This Row],[dps]]/unitlist3[[#This Row],[metalcost]]</f>
        <v>0.12244897959183673</v>
      </c>
      <c r="AA183">
        <v>600</v>
      </c>
      <c r="AB183">
        <v>1350</v>
      </c>
      <c r="AF183">
        <v>700</v>
      </c>
      <c r="AG183">
        <v>1050</v>
      </c>
      <c r="AH183" t="s">
        <v>41</v>
      </c>
      <c r="AI183" t="s">
        <v>88</v>
      </c>
      <c r="AJ183" t="s">
        <v>41</v>
      </c>
      <c r="AK183">
        <v>1</v>
      </c>
      <c r="AL183" t="s">
        <v>1509</v>
      </c>
      <c r="AM183" t="s">
        <v>41</v>
      </c>
    </row>
    <row r="184" spans="1:39">
      <c r="A184" t="s">
        <v>1222</v>
      </c>
      <c r="B184" t="s">
        <v>806</v>
      </c>
      <c r="C184">
        <v>2</v>
      </c>
      <c r="D184" t="s">
        <v>1223</v>
      </c>
      <c r="E184" t="s">
        <v>520</v>
      </c>
      <c r="F184" t="s">
        <v>41</v>
      </c>
      <c r="G184" t="s">
        <v>521</v>
      </c>
      <c r="H184">
        <v>31</v>
      </c>
      <c r="I184">
        <v>880</v>
      </c>
      <c r="J184">
        <v>6700</v>
      </c>
      <c r="K184">
        <v>15000</v>
      </c>
      <c r="L184">
        <v>0</v>
      </c>
      <c r="M184">
        <v>0</v>
      </c>
      <c r="N184">
        <v>0</v>
      </c>
      <c r="O184">
        <v>33</v>
      </c>
      <c r="P184">
        <v>1390</v>
      </c>
      <c r="Q184" s="5">
        <f>unitlist3[[#This Row],[health]]/unitlist3[[#This Row],[buildtime]]</f>
        <v>9.2666666666666661E-2</v>
      </c>
      <c r="R184" s="5">
        <f>unitlist3[[#This Row],[dps]]/unitlist3[[#This Row],[metalcost]]</f>
        <v>0.12045454545454545</v>
      </c>
      <c r="AA184">
        <v>106</v>
      </c>
      <c r="AB184">
        <v>1310</v>
      </c>
      <c r="AF184">
        <v>221</v>
      </c>
      <c r="AG184">
        <v>332</v>
      </c>
      <c r="AH184" t="s">
        <v>424</v>
      </c>
      <c r="AI184" t="s">
        <v>104</v>
      </c>
      <c r="AJ184" t="s">
        <v>41</v>
      </c>
      <c r="AK184">
        <v>1</v>
      </c>
      <c r="AL184" t="s">
        <v>1670</v>
      </c>
      <c r="AM184" t="s">
        <v>41</v>
      </c>
    </row>
    <row r="185" spans="1:39">
      <c r="A185" t="s">
        <v>518</v>
      </c>
      <c r="B185" t="s">
        <v>38</v>
      </c>
      <c r="C185">
        <v>2</v>
      </c>
      <c r="D185" t="s">
        <v>519</v>
      </c>
      <c r="E185" t="s">
        <v>520</v>
      </c>
      <c r="F185" t="s">
        <v>41</v>
      </c>
      <c r="G185" t="s">
        <v>521</v>
      </c>
      <c r="H185">
        <v>28</v>
      </c>
      <c r="I185">
        <v>920</v>
      </c>
      <c r="J185">
        <v>6500</v>
      </c>
      <c r="K185">
        <v>15500</v>
      </c>
      <c r="L185">
        <v>0</v>
      </c>
      <c r="M185">
        <v>0</v>
      </c>
      <c r="N185">
        <v>0</v>
      </c>
      <c r="O185">
        <v>33</v>
      </c>
      <c r="P185">
        <v>1220</v>
      </c>
      <c r="Q185" s="5">
        <f>unitlist3[[#This Row],[health]]/unitlist3[[#This Row],[buildtime]]</f>
        <v>7.8709677419354834E-2</v>
      </c>
      <c r="R185" s="5">
        <f>unitlist3[[#This Row],[dps]]/unitlist3[[#This Row],[metalcost]]</f>
        <v>0.11521739130434783</v>
      </c>
      <c r="AA185">
        <v>106</v>
      </c>
      <c r="AB185">
        <v>1300</v>
      </c>
      <c r="AF185">
        <v>247</v>
      </c>
      <c r="AG185">
        <v>371</v>
      </c>
      <c r="AH185" t="s">
        <v>424</v>
      </c>
      <c r="AI185" t="s">
        <v>104</v>
      </c>
      <c r="AJ185" t="s">
        <v>41</v>
      </c>
      <c r="AK185">
        <v>1</v>
      </c>
      <c r="AL185" t="s">
        <v>1394</v>
      </c>
      <c r="AM185" t="s">
        <v>41</v>
      </c>
    </row>
    <row r="186" spans="1:39">
      <c r="A186" t="s">
        <v>661</v>
      </c>
      <c r="B186" t="s">
        <v>38</v>
      </c>
      <c r="C186">
        <v>2</v>
      </c>
      <c r="D186" t="s">
        <v>662</v>
      </c>
      <c r="E186" t="s">
        <v>663</v>
      </c>
      <c r="F186" t="s">
        <v>41</v>
      </c>
      <c r="G186" t="s">
        <v>664</v>
      </c>
      <c r="H186">
        <v>22</v>
      </c>
      <c r="I186">
        <v>1800</v>
      </c>
      <c r="J186">
        <v>27000</v>
      </c>
      <c r="K186">
        <v>22770</v>
      </c>
      <c r="L186">
        <v>0</v>
      </c>
      <c r="M186">
        <v>0</v>
      </c>
      <c r="N186">
        <v>0</v>
      </c>
      <c r="O186">
        <v>45</v>
      </c>
      <c r="P186">
        <v>3550</v>
      </c>
      <c r="Q186" s="5">
        <f>unitlist3[[#This Row],[health]]/unitlist3[[#This Row],[buildtime]]</f>
        <v>0.15590689503732982</v>
      </c>
      <c r="R186" s="5">
        <f>unitlist3[[#This Row],[dps]]/unitlist3[[#This Row],[metalcost]]</f>
        <v>0.11444444444444445</v>
      </c>
      <c r="T186">
        <v>1</v>
      </c>
      <c r="AA186">
        <v>206</v>
      </c>
      <c r="AB186">
        <v>800</v>
      </c>
      <c r="AD186">
        <v>400</v>
      </c>
      <c r="AF186">
        <v>550</v>
      </c>
      <c r="AG186">
        <v>825</v>
      </c>
      <c r="AH186" t="s">
        <v>424</v>
      </c>
      <c r="AI186" t="s">
        <v>1432</v>
      </c>
      <c r="AJ186" t="s">
        <v>41</v>
      </c>
      <c r="AK186">
        <v>1</v>
      </c>
      <c r="AL186" t="s">
        <v>1433</v>
      </c>
      <c r="AM186" t="s">
        <v>41</v>
      </c>
    </row>
    <row r="187" spans="1:39">
      <c r="A187" t="s">
        <v>1163</v>
      </c>
      <c r="B187" t="s">
        <v>806</v>
      </c>
      <c r="C187">
        <v>2</v>
      </c>
      <c r="D187" t="s">
        <v>1164</v>
      </c>
      <c r="E187" t="s">
        <v>663</v>
      </c>
      <c r="F187" t="s">
        <v>41</v>
      </c>
      <c r="G187" t="s">
        <v>664</v>
      </c>
      <c r="H187">
        <v>25</v>
      </c>
      <c r="I187">
        <v>1900</v>
      </c>
      <c r="J187">
        <v>29000</v>
      </c>
      <c r="K187">
        <v>24750</v>
      </c>
      <c r="L187">
        <v>0</v>
      </c>
      <c r="M187">
        <v>0</v>
      </c>
      <c r="N187">
        <v>0</v>
      </c>
      <c r="O187">
        <v>39</v>
      </c>
      <c r="P187">
        <v>3900</v>
      </c>
      <c r="Q187" s="5">
        <f>unitlist3[[#This Row],[health]]/unitlist3[[#This Row],[buildtime]]</f>
        <v>0.15757575757575756</v>
      </c>
      <c r="R187" s="5">
        <f>unitlist3[[#This Row],[dps]]/unitlist3[[#This Row],[metalcost]]</f>
        <v>0.10842105263157895</v>
      </c>
      <c r="T187">
        <v>1</v>
      </c>
      <c r="AA187">
        <v>206</v>
      </c>
      <c r="AB187">
        <v>850</v>
      </c>
      <c r="AD187">
        <v>400</v>
      </c>
      <c r="AF187">
        <v>570</v>
      </c>
      <c r="AG187">
        <v>855</v>
      </c>
      <c r="AH187" t="s">
        <v>424</v>
      </c>
      <c r="AI187" t="s">
        <v>168</v>
      </c>
      <c r="AJ187" t="s">
        <v>41</v>
      </c>
      <c r="AK187">
        <v>1</v>
      </c>
      <c r="AL187" t="s">
        <v>1640</v>
      </c>
      <c r="AM187" t="s">
        <v>41</v>
      </c>
    </row>
    <row r="188" spans="1:39">
      <c r="A188" t="s">
        <v>182</v>
      </c>
      <c r="B188" t="s">
        <v>38</v>
      </c>
      <c r="C188">
        <v>3</v>
      </c>
      <c r="D188" t="s">
        <v>183</v>
      </c>
      <c r="E188" t="s">
        <v>184</v>
      </c>
      <c r="F188" t="s">
        <v>41</v>
      </c>
      <c r="G188" t="s">
        <v>185</v>
      </c>
      <c r="H188">
        <v>100</v>
      </c>
      <c r="I188">
        <v>13500</v>
      </c>
      <c r="J188">
        <v>286000</v>
      </c>
      <c r="K188">
        <v>276000</v>
      </c>
      <c r="L188">
        <v>0</v>
      </c>
      <c r="M188">
        <v>150</v>
      </c>
      <c r="N188">
        <v>0</v>
      </c>
      <c r="O188">
        <v>46</v>
      </c>
      <c r="P188">
        <v>69000</v>
      </c>
      <c r="Q188" s="5">
        <f>unitlist3[[#This Row],[health]]/unitlist3[[#This Row],[buildtime]]</f>
        <v>0.25</v>
      </c>
      <c r="R188" s="5">
        <f>unitlist3[[#This Row],[dps]]/unitlist3[[#This Row],[metalcost]]</f>
        <v>0.10755555555555556</v>
      </c>
      <c r="S188">
        <v>1</v>
      </c>
      <c r="AA188">
        <v>1452</v>
      </c>
      <c r="AB188">
        <v>860</v>
      </c>
      <c r="AF188">
        <v>617</v>
      </c>
      <c r="AG188">
        <v>1100</v>
      </c>
      <c r="AH188" t="s">
        <v>41</v>
      </c>
      <c r="AI188" t="s">
        <v>186</v>
      </c>
      <c r="AJ188" t="s">
        <v>41</v>
      </c>
      <c r="AK188">
        <v>1</v>
      </c>
      <c r="AL188" t="s">
        <v>1306</v>
      </c>
      <c r="AM188" t="s">
        <v>41</v>
      </c>
    </row>
    <row r="189" spans="1:39">
      <c r="A189" t="s">
        <v>735</v>
      </c>
      <c r="B189" t="s">
        <v>38</v>
      </c>
      <c r="C189">
        <v>3</v>
      </c>
      <c r="D189" t="s">
        <v>736</v>
      </c>
      <c r="E189" t="s">
        <v>737</v>
      </c>
      <c r="F189" t="s">
        <v>41</v>
      </c>
      <c r="G189" t="s">
        <v>735</v>
      </c>
      <c r="H189">
        <v>41</v>
      </c>
      <c r="I189">
        <v>9000</v>
      </c>
      <c r="J189">
        <v>240000</v>
      </c>
      <c r="K189">
        <v>250000</v>
      </c>
      <c r="L189">
        <v>0</v>
      </c>
      <c r="M189">
        <v>0</v>
      </c>
      <c r="N189">
        <v>0</v>
      </c>
      <c r="O189">
        <v>54</v>
      </c>
      <c r="P189">
        <v>56000</v>
      </c>
      <c r="Q189" s="5">
        <f>unitlist3[[#This Row],[health]]/unitlist3[[#This Row],[buildtime]]</f>
        <v>0.224</v>
      </c>
      <c r="R189" s="5">
        <f>unitlist3[[#This Row],[dps]]/unitlist3[[#This Row],[metalcost]]</f>
        <v>0.10755555555555556</v>
      </c>
      <c r="AA189">
        <v>968</v>
      </c>
      <c r="AB189">
        <v>1050</v>
      </c>
      <c r="AF189">
        <v>600</v>
      </c>
      <c r="AG189">
        <v>900</v>
      </c>
      <c r="AH189" t="s">
        <v>41</v>
      </c>
      <c r="AI189" t="s">
        <v>738</v>
      </c>
      <c r="AJ189" t="s">
        <v>41</v>
      </c>
      <c r="AK189">
        <v>1</v>
      </c>
      <c r="AL189" t="s">
        <v>1451</v>
      </c>
      <c r="AM189" t="s">
        <v>41</v>
      </c>
    </row>
    <row r="190" spans="1:39" hidden="1">
      <c r="A190" t="s">
        <v>859</v>
      </c>
      <c r="B190" t="s">
        <v>806</v>
      </c>
      <c r="C190">
        <v>2</v>
      </c>
      <c r="D190" t="s">
        <v>860</v>
      </c>
      <c r="E190" t="s">
        <v>861</v>
      </c>
      <c r="F190" t="s">
        <v>41</v>
      </c>
      <c r="G190" t="s">
        <v>859</v>
      </c>
      <c r="H190">
        <v>39</v>
      </c>
      <c r="I190">
        <v>3100</v>
      </c>
      <c r="J190">
        <v>35000</v>
      </c>
      <c r="K190">
        <v>59600</v>
      </c>
      <c r="L190">
        <v>0</v>
      </c>
      <c r="M190">
        <v>450</v>
      </c>
      <c r="N190">
        <v>0</v>
      </c>
      <c r="O190">
        <v>0</v>
      </c>
      <c r="P190">
        <v>8300</v>
      </c>
      <c r="Q190" s="5">
        <f>unitlist3[[#This Row],[health]]/unitlist3[[#This Row],[buildtime]]</f>
        <v>0.13926174496644295</v>
      </c>
      <c r="R190" s="5">
        <f>unitlist3[[#This Row],[dps]]/unitlist3[[#This Row],[metalcost]]</f>
        <v>0.10451612903225807</v>
      </c>
      <c r="Z190">
        <v>1</v>
      </c>
      <c r="AA190">
        <v>324</v>
      </c>
      <c r="AB190">
        <v>1650</v>
      </c>
      <c r="AF190">
        <v>650</v>
      </c>
      <c r="AG190">
        <v>975</v>
      </c>
      <c r="AH190" t="s">
        <v>41</v>
      </c>
      <c r="AI190" t="s">
        <v>862</v>
      </c>
      <c r="AJ190" t="s">
        <v>41</v>
      </c>
      <c r="AK190">
        <v>1</v>
      </c>
      <c r="AL190" t="s">
        <v>1503</v>
      </c>
      <c r="AM190" t="s">
        <v>41</v>
      </c>
    </row>
    <row r="191" spans="1:39" hidden="1">
      <c r="A191" t="s">
        <v>1070</v>
      </c>
      <c r="B191" t="s">
        <v>806</v>
      </c>
      <c r="C191">
        <v>2</v>
      </c>
      <c r="D191" t="s">
        <v>1071</v>
      </c>
      <c r="E191" t="s">
        <v>1072</v>
      </c>
      <c r="F191" t="s">
        <v>41</v>
      </c>
      <c r="G191" t="s">
        <v>555</v>
      </c>
      <c r="H191">
        <v>24</v>
      </c>
      <c r="I191">
        <v>2000</v>
      </c>
      <c r="J191">
        <v>10000</v>
      </c>
      <c r="K191">
        <v>15000</v>
      </c>
      <c r="L191">
        <v>0</v>
      </c>
      <c r="M191">
        <v>0</v>
      </c>
      <c r="N191">
        <v>0</v>
      </c>
      <c r="O191">
        <v>61</v>
      </c>
      <c r="P191">
        <v>3350</v>
      </c>
      <c r="Q191" s="5">
        <f>unitlist3[[#This Row],[health]]/unitlist3[[#This Row],[buildtime]]</f>
        <v>0.22333333333333333</v>
      </c>
      <c r="R191" s="5">
        <f>unitlist3[[#This Row],[dps]]/unitlist3[[#This Row],[metalcost]]</f>
        <v>0.10349999999999999</v>
      </c>
      <c r="W191">
        <v>1</v>
      </c>
      <c r="AA191">
        <v>207</v>
      </c>
      <c r="AB191">
        <v>1550</v>
      </c>
      <c r="AE191">
        <v>1000</v>
      </c>
      <c r="AF191">
        <v>319</v>
      </c>
      <c r="AG191">
        <v>478</v>
      </c>
      <c r="AH191" t="s">
        <v>48</v>
      </c>
      <c r="AI191" t="s">
        <v>54</v>
      </c>
      <c r="AJ191" t="s">
        <v>41</v>
      </c>
      <c r="AK191">
        <v>1</v>
      </c>
      <c r="AL191" t="s">
        <v>1597</v>
      </c>
      <c r="AM191" t="s">
        <v>41</v>
      </c>
    </row>
    <row r="192" spans="1:39" hidden="1">
      <c r="A192" t="s">
        <v>300</v>
      </c>
      <c r="B192" t="s">
        <v>38</v>
      </c>
      <c r="C192">
        <v>2</v>
      </c>
      <c r="D192" t="s">
        <v>301</v>
      </c>
      <c r="E192" t="s">
        <v>302</v>
      </c>
      <c r="F192" t="s">
        <v>41</v>
      </c>
      <c r="G192" t="s">
        <v>303</v>
      </c>
      <c r="H192">
        <v>50</v>
      </c>
      <c r="I192">
        <v>17000</v>
      </c>
      <c r="J192">
        <v>158000</v>
      </c>
      <c r="K192">
        <v>169800</v>
      </c>
      <c r="L192">
        <v>0</v>
      </c>
      <c r="M192">
        <v>0</v>
      </c>
      <c r="N192">
        <v>0</v>
      </c>
      <c r="O192">
        <v>54</v>
      </c>
      <c r="P192">
        <v>50000</v>
      </c>
      <c r="Q192" s="5">
        <f>unitlist3[[#This Row],[health]]/unitlist3[[#This Row],[buildtime]]</f>
        <v>0.29446407538280328</v>
      </c>
      <c r="R192" s="5">
        <f>unitlist3[[#This Row],[dps]]/unitlist3[[#This Row],[metalcost]]</f>
        <v>0.10158823529411765</v>
      </c>
      <c r="W192">
        <v>1</v>
      </c>
      <c r="AA192">
        <v>1727</v>
      </c>
      <c r="AB192">
        <v>2450</v>
      </c>
      <c r="AE192">
        <v>1530</v>
      </c>
      <c r="AF192">
        <v>689</v>
      </c>
      <c r="AG192">
        <v>1034</v>
      </c>
      <c r="AH192" t="s">
        <v>48</v>
      </c>
      <c r="AI192" t="s">
        <v>304</v>
      </c>
      <c r="AJ192" t="s">
        <v>41</v>
      </c>
      <c r="AK192">
        <v>1</v>
      </c>
      <c r="AL192" t="s">
        <v>1334</v>
      </c>
      <c r="AM192" t="s">
        <v>41</v>
      </c>
    </row>
    <row r="193" spans="1:39" hidden="1">
      <c r="A193" t="s">
        <v>863</v>
      </c>
      <c r="B193" t="s">
        <v>806</v>
      </c>
      <c r="C193">
        <v>2</v>
      </c>
      <c r="D193" t="s">
        <v>864</v>
      </c>
      <c r="E193" t="s">
        <v>302</v>
      </c>
      <c r="F193" t="s">
        <v>41</v>
      </c>
      <c r="G193" t="s">
        <v>303</v>
      </c>
      <c r="H193">
        <v>65</v>
      </c>
      <c r="I193">
        <v>18000</v>
      </c>
      <c r="J193">
        <v>158000</v>
      </c>
      <c r="K193">
        <v>175300</v>
      </c>
      <c r="L193">
        <v>0</v>
      </c>
      <c r="M193">
        <v>0</v>
      </c>
      <c r="N193">
        <v>0</v>
      </c>
      <c r="O193">
        <v>50</v>
      </c>
      <c r="P193">
        <v>53000</v>
      </c>
      <c r="Q193" s="5">
        <f>unitlist3[[#This Row],[health]]/unitlist3[[#This Row],[buildtime]]</f>
        <v>0.30233884768967484</v>
      </c>
      <c r="R193" s="5">
        <f>unitlist3[[#This Row],[dps]]/unitlist3[[#This Row],[metalcost]]</f>
        <v>0.10116666666666667</v>
      </c>
      <c r="W193">
        <v>1</v>
      </c>
      <c r="AA193">
        <v>1821</v>
      </c>
      <c r="AB193">
        <v>2550</v>
      </c>
      <c r="AE193">
        <v>1510</v>
      </c>
      <c r="AF193">
        <v>650</v>
      </c>
      <c r="AG193">
        <v>975</v>
      </c>
      <c r="AH193" t="s">
        <v>48</v>
      </c>
      <c r="AI193" t="s">
        <v>865</v>
      </c>
      <c r="AJ193" t="s">
        <v>41</v>
      </c>
      <c r="AK193">
        <v>1</v>
      </c>
      <c r="AL193" t="s">
        <v>1504</v>
      </c>
      <c r="AM193" t="s">
        <v>41</v>
      </c>
    </row>
    <row r="194" spans="1:39">
      <c r="A194" t="s">
        <v>774</v>
      </c>
      <c r="B194" t="s">
        <v>38</v>
      </c>
      <c r="C194">
        <v>3</v>
      </c>
      <c r="D194" t="s">
        <v>775</v>
      </c>
      <c r="E194" t="s">
        <v>490</v>
      </c>
      <c r="F194" t="s">
        <v>41</v>
      </c>
      <c r="G194" t="s">
        <v>776</v>
      </c>
      <c r="H194">
        <v>50</v>
      </c>
      <c r="I194">
        <v>3300</v>
      </c>
      <c r="J194">
        <v>71000</v>
      </c>
      <c r="K194">
        <v>91000</v>
      </c>
      <c r="L194">
        <v>0</v>
      </c>
      <c r="M194">
        <v>0</v>
      </c>
      <c r="N194">
        <v>0</v>
      </c>
      <c r="O194">
        <v>33</v>
      </c>
      <c r="P194">
        <v>8500</v>
      </c>
      <c r="Q194" s="5">
        <f>unitlist3[[#This Row],[health]]/unitlist3[[#This Row],[buildtime]]</f>
        <v>9.3406593406593408E-2</v>
      </c>
      <c r="R194" s="5">
        <f>unitlist3[[#This Row],[dps]]/unitlist3[[#This Row],[metalcost]]</f>
        <v>9.5757575757575764E-2</v>
      </c>
      <c r="AA194">
        <v>316</v>
      </c>
      <c r="AB194">
        <v>1450</v>
      </c>
      <c r="AF194">
        <v>625</v>
      </c>
      <c r="AG194">
        <v>938</v>
      </c>
      <c r="AH194" t="s">
        <v>41</v>
      </c>
      <c r="AI194" t="s">
        <v>862</v>
      </c>
      <c r="AJ194" t="s">
        <v>41</v>
      </c>
      <c r="AK194">
        <v>1</v>
      </c>
      <c r="AL194" t="s">
        <v>1465</v>
      </c>
      <c r="AM194" t="s">
        <v>41</v>
      </c>
    </row>
    <row r="195" spans="1:39" hidden="1">
      <c r="A195" t="s">
        <v>552</v>
      </c>
      <c r="B195" t="s">
        <v>38</v>
      </c>
      <c r="C195">
        <v>2</v>
      </c>
      <c r="D195" t="s">
        <v>553</v>
      </c>
      <c r="E195" t="s">
        <v>554</v>
      </c>
      <c r="F195" t="s">
        <v>41</v>
      </c>
      <c r="G195" t="s">
        <v>555</v>
      </c>
      <c r="H195">
        <v>50</v>
      </c>
      <c r="I195">
        <v>2000</v>
      </c>
      <c r="J195">
        <v>10000</v>
      </c>
      <c r="K195">
        <v>15000</v>
      </c>
      <c r="L195">
        <v>0</v>
      </c>
      <c r="M195">
        <v>0</v>
      </c>
      <c r="N195">
        <v>0</v>
      </c>
      <c r="O195">
        <v>63</v>
      </c>
      <c r="P195">
        <v>3350</v>
      </c>
      <c r="Q195" s="5">
        <f>unitlist3[[#This Row],[health]]/unitlist3[[#This Row],[buildtime]]</f>
        <v>0.22333333333333333</v>
      </c>
      <c r="R195" s="5">
        <f>unitlist3[[#This Row],[dps]]/unitlist3[[#This Row],[metalcost]]</f>
        <v>8.8499999999999995E-2</v>
      </c>
      <c r="W195">
        <v>1</v>
      </c>
      <c r="AA195">
        <v>177</v>
      </c>
      <c r="AB195">
        <v>1550</v>
      </c>
      <c r="AE195">
        <v>1000</v>
      </c>
      <c r="AF195">
        <v>319</v>
      </c>
      <c r="AG195">
        <v>478</v>
      </c>
      <c r="AH195" t="s">
        <v>48</v>
      </c>
      <c r="AI195" t="s">
        <v>54</v>
      </c>
      <c r="AJ195" t="s">
        <v>41</v>
      </c>
      <c r="AK195">
        <v>1</v>
      </c>
      <c r="AL195" t="s">
        <v>1405</v>
      </c>
      <c r="AM195" t="s">
        <v>41</v>
      </c>
    </row>
    <row r="196" spans="1:39">
      <c r="A196" t="s">
        <v>331</v>
      </c>
      <c r="B196" t="s">
        <v>38</v>
      </c>
      <c r="C196">
        <v>2</v>
      </c>
      <c r="D196" t="s">
        <v>332</v>
      </c>
      <c r="E196" t="s">
        <v>333</v>
      </c>
      <c r="F196" t="s">
        <v>41</v>
      </c>
      <c r="G196" t="s">
        <v>334</v>
      </c>
      <c r="H196">
        <v>47</v>
      </c>
      <c r="I196">
        <v>1400</v>
      </c>
      <c r="J196">
        <v>11000</v>
      </c>
      <c r="K196">
        <v>21000</v>
      </c>
      <c r="L196">
        <v>0</v>
      </c>
      <c r="M196">
        <v>0</v>
      </c>
      <c r="N196">
        <v>0</v>
      </c>
      <c r="O196">
        <v>30</v>
      </c>
      <c r="P196">
        <v>7800</v>
      </c>
      <c r="Q196" s="5">
        <f>unitlist3[[#This Row],[health]]/unitlist3[[#This Row],[buildtime]]</f>
        <v>0.37142857142857144</v>
      </c>
      <c r="R196" s="5">
        <f>unitlist3[[#This Row],[dps]]/unitlist3[[#This Row],[metalcost]]</f>
        <v>8.5000000000000006E-2</v>
      </c>
      <c r="AA196">
        <v>119</v>
      </c>
      <c r="AB196">
        <v>700</v>
      </c>
      <c r="AF196">
        <v>510</v>
      </c>
      <c r="AG196">
        <v>765</v>
      </c>
      <c r="AH196" t="s">
        <v>41</v>
      </c>
      <c r="AI196" t="s">
        <v>124</v>
      </c>
      <c r="AJ196" t="s">
        <v>41</v>
      </c>
      <c r="AK196">
        <v>1</v>
      </c>
      <c r="AL196" t="s">
        <v>1342</v>
      </c>
      <c r="AM196" t="s">
        <v>41</v>
      </c>
    </row>
    <row r="197" spans="1:39">
      <c r="A197" t="s">
        <v>1011</v>
      </c>
      <c r="B197" t="s">
        <v>806</v>
      </c>
      <c r="C197">
        <v>3</v>
      </c>
      <c r="D197" t="s">
        <v>1012</v>
      </c>
      <c r="E197" t="s">
        <v>1013</v>
      </c>
      <c r="F197" t="s">
        <v>41</v>
      </c>
      <c r="G197" t="s">
        <v>1014</v>
      </c>
      <c r="H197">
        <v>105</v>
      </c>
      <c r="I197">
        <v>20000</v>
      </c>
      <c r="J197">
        <v>513000</v>
      </c>
      <c r="K197">
        <v>630000</v>
      </c>
      <c r="L197">
        <v>0</v>
      </c>
      <c r="M197">
        <v>0</v>
      </c>
      <c r="N197">
        <v>0</v>
      </c>
      <c r="O197">
        <v>17</v>
      </c>
      <c r="P197">
        <v>335000</v>
      </c>
      <c r="Q197" s="5">
        <f>unitlist3[[#This Row],[health]]/unitlist3[[#This Row],[buildtime]]</f>
        <v>0.53174603174603174</v>
      </c>
      <c r="R197" s="5">
        <f>unitlist3[[#This Row],[dps]]/unitlist3[[#This Row],[metalcost]]</f>
        <v>5.6050000000000003E-2</v>
      </c>
      <c r="AA197">
        <v>1121</v>
      </c>
      <c r="AB197">
        <v>590</v>
      </c>
      <c r="AF197">
        <v>720</v>
      </c>
      <c r="AG197">
        <v>1080</v>
      </c>
      <c r="AH197" t="s">
        <v>41</v>
      </c>
      <c r="AI197" t="s">
        <v>1015</v>
      </c>
      <c r="AJ197" t="s">
        <v>41</v>
      </c>
      <c r="AK197">
        <v>1</v>
      </c>
      <c r="AL197" t="s">
        <v>1569</v>
      </c>
      <c r="AM197" t="s">
        <v>41</v>
      </c>
    </row>
    <row r="198" spans="1:39" hidden="1">
      <c r="A198" t="s">
        <v>1145</v>
      </c>
      <c r="B198" t="s">
        <v>806</v>
      </c>
      <c r="C198">
        <v>2</v>
      </c>
      <c r="D198" t="s">
        <v>1146</v>
      </c>
      <c r="E198" t="s">
        <v>684</v>
      </c>
      <c r="F198" t="s">
        <v>41</v>
      </c>
      <c r="G198" t="s">
        <v>685</v>
      </c>
      <c r="H198">
        <v>30</v>
      </c>
      <c r="I198">
        <v>7700</v>
      </c>
      <c r="J198">
        <v>82000</v>
      </c>
      <c r="K198">
        <v>181000</v>
      </c>
      <c r="L198">
        <v>0</v>
      </c>
      <c r="M198">
        <v>0</v>
      </c>
      <c r="N198">
        <v>0</v>
      </c>
      <c r="O198">
        <v>0</v>
      </c>
      <c r="P198">
        <v>6200</v>
      </c>
      <c r="Q198" s="5">
        <f>unitlist3[[#This Row],[health]]/unitlist3[[#This Row],[buildtime]]</f>
        <v>3.4254143646408837E-2</v>
      </c>
      <c r="R198" s="5">
        <f>unitlist3[[#This Row],[dps]]/unitlist3[[#This Row],[metalcost]]</f>
        <v>4.9740259740259737E-2</v>
      </c>
      <c r="Z198">
        <v>1</v>
      </c>
      <c r="AA198">
        <v>383</v>
      </c>
      <c r="AB198">
        <v>72000</v>
      </c>
      <c r="AE198">
        <v>50</v>
      </c>
      <c r="AF198">
        <v>455</v>
      </c>
      <c r="AG198">
        <v>683</v>
      </c>
      <c r="AH198" t="s">
        <v>41</v>
      </c>
      <c r="AI198" t="s">
        <v>686</v>
      </c>
      <c r="AJ198" t="s">
        <v>41</v>
      </c>
      <c r="AK198">
        <v>1</v>
      </c>
      <c r="AL198" t="s">
        <v>1631</v>
      </c>
      <c r="AM198" t="s">
        <v>41</v>
      </c>
    </row>
    <row r="199" spans="1:39" hidden="1">
      <c r="A199" t="s">
        <v>866</v>
      </c>
      <c r="B199" t="s">
        <v>806</v>
      </c>
      <c r="C199">
        <v>2</v>
      </c>
      <c r="D199" t="s">
        <v>867</v>
      </c>
      <c r="E199" t="s">
        <v>788</v>
      </c>
      <c r="F199" t="s">
        <v>41</v>
      </c>
      <c r="G199" t="s">
        <v>866</v>
      </c>
      <c r="H199">
        <v>152</v>
      </c>
      <c r="I199">
        <v>68000</v>
      </c>
      <c r="J199">
        <v>800000</v>
      </c>
      <c r="K199">
        <v>1400000</v>
      </c>
      <c r="L199">
        <v>0</v>
      </c>
      <c r="M199">
        <v>0</v>
      </c>
      <c r="N199">
        <v>0</v>
      </c>
      <c r="O199">
        <v>0</v>
      </c>
      <c r="P199">
        <v>33500</v>
      </c>
      <c r="Q199" s="5">
        <f>unitlist3[[#This Row],[health]]/unitlist3[[#This Row],[buildtime]]</f>
        <v>2.3928571428571428E-2</v>
      </c>
      <c r="R199" s="5">
        <f>unitlist3[[#This Row],[dps]]/unitlist3[[#This Row],[metalcost]]</f>
        <v>4.0102941176470591E-2</v>
      </c>
      <c r="Z199">
        <v>1</v>
      </c>
      <c r="AA199">
        <v>2727</v>
      </c>
      <c r="AB199">
        <v>6100</v>
      </c>
      <c r="AF199">
        <v>700</v>
      </c>
      <c r="AG199">
        <v>1050</v>
      </c>
      <c r="AH199" t="s">
        <v>41</v>
      </c>
      <c r="AI199" t="s">
        <v>124</v>
      </c>
      <c r="AJ199" t="s">
        <v>41</v>
      </c>
      <c r="AK199">
        <v>1</v>
      </c>
      <c r="AL199" t="s">
        <v>1505</v>
      </c>
      <c r="AM199" t="s">
        <v>41</v>
      </c>
    </row>
    <row r="200" spans="1:39" hidden="1">
      <c r="A200" t="s">
        <v>682</v>
      </c>
      <c r="B200" t="s">
        <v>38</v>
      </c>
      <c r="C200">
        <v>2</v>
      </c>
      <c r="D200" t="s">
        <v>683</v>
      </c>
      <c r="E200" t="s">
        <v>684</v>
      </c>
      <c r="F200" t="s">
        <v>41</v>
      </c>
      <c r="G200" t="s">
        <v>685</v>
      </c>
      <c r="H200">
        <v>72</v>
      </c>
      <c r="I200">
        <v>8100</v>
      </c>
      <c r="J200">
        <v>90000</v>
      </c>
      <c r="K200">
        <v>178500</v>
      </c>
      <c r="L200">
        <v>0</v>
      </c>
      <c r="M200">
        <v>0</v>
      </c>
      <c r="N200">
        <v>0</v>
      </c>
      <c r="O200">
        <v>0</v>
      </c>
      <c r="P200">
        <v>5900</v>
      </c>
      <c r="Q200" s="5">
        <f>unitlist3[[#This Row],[health]]/unitlist3[[#This Row],[buildtime]]</f>
        <v>3.3053221288515407E-2</v>
      </c>
      <c r="R200" s="5">
        <f>unitlist3[[#This Row],[dps]]/unitlist3[[#This Row],[metalcost]]</f>
        <v>3.9135802469135804E-2</v>
      </c>
      <c r="Z200">
        <v>1</v>
      </c>
      <c r="AA200">
        <v>317</v>
      </c>
      <c r="AB200">
        <v>72000</v>
      </c>
      <c r="AE200">
        <v>50</v>
      </c>
      <c r="AF200">
        <v>455</v>
      </c>
      <c r="AG200">
        <v>683</v>
      </c>
      <c r="AH200" t="s">
        <v>41</v>
      </c>
      <c r="AI200" t="s">
        <v>686</v>
      </c>
      <c r="AJ200" t="s">
        <v>41</v>
      </c>
      <c r="AK200">
        <v>1</v>
      </c>
      <c r="AL200" t="s">
        <v>1438</v>
      </c>
      <c r="AM200" t="s">
        <v>41</v>
      </c>
    </row>
    <row r="201" spans="1:39" hidden="1">
      <c r="A201" t="s">
        <v>786</v>
      </c>
      <c r="B201" t="s">
        <v>38</v>
      </c>
      <c r="C201">
        <v>2</v>
      </c>
      <c r="D201" t="s">
        <v>787</v>
      </c>
      <c r="E201" t="s">
        <v>788</v>
      </c>
      <c r="F201" t="s">
        <v>41</v>
      </c>
      <c r="G201" t="s">
        <v>786</v>
      </c>
      <c r="H201">
        <v>148</v>
      </c>
      <c r="I201">
        <v>70000</v>
      </c>
      <c r="J201">
        <v>830000</v>
      </c>
      <c r="K201">
        <v>1400000</v>
      </c>
      <c r="L201">
        <v>0</v>
      </c>
      <c r="M201">
        <v>0</v>
      </c>
      <c r="N201">
        <v>0</v>
      </c>
      <c r="O201">
        <v>0</v>
      </c>
      <c r="P201">
        <v>32000</v>
      </c>
      <c r="Q201" s="5">
        <f>unitlist3[[#This Row],[health]]/unitlist3[[#This Row],[buildtime]]</f>
        <v>2.2857142857142857E-2</v>
      </c>
      <c r="R201" s="5">
        <f>unitlist3[[#This Row],[dps]]/unitlist3[[#This Row],[metalcost]]</f>
        <v>3.8685714285714289E-2</v>
      </c>
      <c r="Z201">
        <v>1</v>
      </c>
      <c r="AA201">
        <v>2708</v>
      </c>
      <c r="AB201">
        <v>5750</v>
      </c>
      <c r="AF201">
        <v>700</v>
      </c>
      <c r="AG201">
        <v>1050</v>
      </c>
      <c r="AH201" t="s">
        <v>41</v>
      </c>
      <c r="AI201" t="s">
        <v>124</v>
      </c>
      <c r="AJ201" t="s">
        <v>41</v>
      </c>
      <c r="AK201">
        <v>1</v>
      </c>
      <c r="AL201" t="s">
        <v>1468</v>
      </c>
      <c r="AM201" t="s">
        <v>41</v>
      </c>
    </row>
    <row r="202" spans="1:39" hidden="1">
      <c r="A202" t="s">
        <v>207</v>
      </c>
      <c r="B202" t="s">
        <v>38</v>
      </c>
      <c r="C202">
        <v>2</v>
      </c>
      <c r="D202" t="s">
        <v>208</v>
      </c>
      <c r="E202" t="s">
        <v>209</v>
      </c>
      <c r="F202" t="s">
        <v>41</v>
      </c>
      <c r="G202" t="s">
        <v>207</v>
      </c>
      <c r="H202">
        <v>88</v>
      </c>
      <c r="I202">
        <v>4500</v>
      </c>
      <c r="J202">
        <v>64000</v>
      </c>
      <c r="K202">
        <v>85000</v>
      </c>
      <c r="L202">
        <v>0</v>
      </c>
      <c r="M202">
        <v>0</v>
      </c>
      <c r="N202">
        <v>0</v>
      </c>
      <c r="O202">
        <v>0</v>
      </c>
      <c r="P202">
        <v>4450</v>
      </c>
      <c r="Q202" s="5">
        <f>unitlist3[[#This Row],[health]]/unitlist3[[#This Row],[buildtime]]</f>
        <v>5.2352941176470588E-2</v>
      </c>
      <c r="R202" s="5">
        <f>unitlist3[[#This Row],[dps]]/unitlist3[[#This Row],[metalcost]]</f>
        <v>2.7333333333333334E-2</v>
      </c>
      <c r="Z202">
        <v>1</v>
      </c>
      <c r="AA202">
        <v>123</v>
      </c>
      <c r="AB202">
        <v>4650</v>
      </c>
      <c r="AF202">
        <v>273</v>
      </c>
      <c r="AG202">
        <v>410</v>
      </c>
      <c r="AH202" t="s">
        <v>41</v>
      </c>
      <c r="AI202" t="s">
        <v>124</v>
      </c>
      <c r="AJ202" t="s">
        <v>41</v>
      </c>
      <c r="AK202">
        <v>1</v>
      </c>
      <c r="AL202" t="s">
        <v>1313</v>
      </c>
      <c r="AM202" t="s">
        <v>41</v>
      </c>
    </row>
    <row r="203" spans="1:39" hidden="1">
      <c r="A203" t="s">
        <v>1006</v>
      </c>
      <c r="B203" t="s">
        <v>806</v>
      </c>
      <c r="C203">
        <v>2</v>
      </c>
      <c r="D203" t="s">
        <v>1007</v>
      </c>
      <c r="E203" t="s">
        <v>209</v>
      </c>
      <c r="F203" t="s">
        <v>41</v>
      </c>
      <c r="G203" t="s">
        <v>1006</v>
      </c>
      <c r="H203">
        <v>88</v>
      </c>
      <c r="I203">
        <v>4600</v>
      </c>
      <c r="J203">
        <v>67000</v>
      </c>
      <c r="K203">
        <v>93300</v>
      </c>
      <c r="L203">
        <v>0</v>
      </c>
      <c r="M203">
        <v>0</v>
      </c>
      <c r="N203">
        <v>0</v>
      </c>
      <c r="O203">
        <v>0</v>
      </c>
      <c r="P203">
        <v>4700</v>
      </c>
      <c r="Q203" s="5">
        <f>unitlist3[[#This Row],[health]]/unitlist3[[#This Row],[buildtime]]</f>
        <v>5.0375133976420149E-2</v>
      </c>
      <c r="R203" s="5">
        <f>unitlist3[[#This Row],[dps]]/unitlist3[[#This Row],[metalcost]]</f>
        <v>2.717391304347826E-2</v>
      </c>
      <c r="Z203">
        <v>1</v>
      </c>
      <c r="AA203">
        <v>125</v>
      </c>
      <c r="AB203">
        <v>4950</v>
      </c>
      <c r="AF203">
        <v>273</v>
      </c>
      <c r="AG203">
        <v>410</v>
      </c>
      <c r="AH203" t="s">
        <v>41</v>
      </c>
      <c r="AI203" t="s">
        <v>124</v>
      </c>
      <c r="AJ203" t="s">
        <v>41</v>
      </c>
      <c r="AK203">
        <v>1</v>
      </c>
      <c r="AL203" t="s">
        <v>1567</v>
      </c>
      <c r="AM203" t="s">
        <v>41</v>
      </c>
    </row>
    <row r="204" spans="1:39" hidden="1">
      <c r="A204" t="s">
        <v>448</v>
      </c>
      <c r="B204" t="s">
        <v>38</v>
      </c>
      <c r="C204">
        <v>1</v>
      </c>
      <c r="D204" t="s">
        <v>449</v>
      </c>
      <c r="E204" t="s">
        <v>450</v>
      </c>
      <c r="F204" t="s">
        <v>41</v>
      </c>
      <c r="G204" t="s">
        <v>451</v>
      </c>
      <c r="H204">
        <v>77</v>
      </c>
      <c r="I204">
        <v>640</v>
      </c>
      <c r="J204">
        <v>17000</v>
      </c>
      <c r="K204">
        <v>21800</v>
      </c>
      <c r="L204">
        <v>0</v>
      </c>
      <c r="M204">
        <v>0</v>
      </c>
      <c r="N204">
        <v>0</v>
      </c>
      <c r="O204">
        <v>0</v>
      </c>
      <c r="P204">
        <v>2350</v>
      </c>
      <c r="Q204" s="5">
        <f>unitlist3[[#This Row],[health]]/unitlist3[[#This Row],[buildtime]]</f>
        <v>0.10779816513761468</v>
      </c>
      <c r="R204" s="5">
        <f>unitlist3[[#This Row],[dps]]/unitlist3[[#This Row],[metalcost]]</f>
        <v>1.5625000000000001E-3</v>
      </c>
      <c r="Z204">
        <v>1</v>
      </c>
      <c r="AA204">
        <v>1</v>
      </c>
      <c r="AB204">
        <v>32000</v>
      </c>
      <c r="AF204">
        <v>494</v>
      </c>
      <c r="AG204">
        <v>741</v>
      </c>
      <c r="AH204" t="s">
        <v>424</v>
      </c>
      <c r="AI204" t="s">
        <v>104</v>
      </c>
      <c r="AJ204" t="s">
        <v>41</v>
      </c>
      <c r="AK204">
        <v>1</v>
      </c>
      <c r="AL204" t="s">
        <v>1376</v>
      </c>
      <c r="AM204" t="s">
        <v>41</v>
      </c>
    </row>
    <row r="205" spans="1:39" hidden="1">
      <c r="A205" t="s">
        <v>1016</v>
      </c>
      <c r="B205" t="s">
        <v>806</v>
      </c>
      <c r="C205">
        <v>1</v>
      </c>
      <c r="D205" t="s">
        <v>449</v>
      </c>
      <c r="E205" t="s">
        <v>450</v>
      </c>
      <c r="F205" t="s">
        <v>41</v>
      </c>
      <c r="G205" t="s">
        <v>451</v>
      </c>
      <c r="H205">
        <v>77</v>
      </c>
      <c r="I205">
        <v>660</v>
      </c>
      <c r="J205">
        <v>16000</v>
      </c>
      <c r="K205">
        <v>27700</v>
      </c>
      <c r="L205">
        <v>0</v>
      </c>
      <c r="M205">
        <v>0</v>
      </c>
      <c r="N205">
        <v>0</v>
      </c>
      <c r="O205">
        <v>0</v>
      </c>
      <c r="P205">
        <v>2500</v>
      </c>
      <c r="Q205" s="5">
        <f>unitlist3[[#This Row],[health]]/unitlist3[[#This Row],[buildtime]]</f>
        <v>9.0252707581227443E-2</v>
      </c>
      <c r="R205" s="5">
        <f>unitlist3[[#This Row],[dps]]/unitlist3[[#This Row],[metalcost]]</f>
        <v>1.5151515151515152E-3</v>
      </c>
      <c r="Z205">
        <v>1</v>
      </c>
      <c r="AA205">
        <v>1</v>
      </c>
      <c r="AB205">
        <v>32000</v>
      </c>
      <c r="AF205">
        <v>494</v>
      </c>
      <c r="AG205">
        <v>741</v>
      </c>
      <c r="AH205" t="s">
        <v>424</v>
      </c>
      <c r="AI205" t="s">
        <v>104</v>
      </c>
      <c r="AJ205" t="s">
        <v>41</v>
      </c>
      <c r="AK205">
        <v>1</v>
      </c>
      <c r="AL205" t="s">
        <v>1570</v>
      </c>
      <c r="AM205" t="s">
        <v>41</v>
      </c>
    </row>
    <row r="206" spans="1:39" hidden="1">
      <c r="A206" t="s">
        <v>395</v>
      </c>
      <c r="B206" t="s">
        <v>38</v>
      </c>
      <c r="C206">
        <v>2</v>
      </c>
      <c r="D206" t="s">
        <v>396</v>
      </c>
      <c r="E206" t="s">
        <v>397</v>
      </c>
      <c r="F206" t="s">
        <v>41</v>
      </c>
      <c r="G206" t="s">
        <v>398</v>
      </c>
      <c r="H206">
        <v>35</v>
      </c>
      <c r="I206">
        <v>3000</v>
      </c>
      <c r="J206">
        <v>54000</v>
      </c>
      <c r="K206">
        <v>55000</v>
      </c>
      <c r="L206">
        <v>0</v>
      </c>
      <c r="M206">
        <v>0</v>
      </c>
      <c r="N206">
        <v>0</v>
      </c>
      <c r="O206">
        <v>0</v>
      </c>
      <c r="P206">
        <v>3550</v>
      </c>
      <c r="Q206" s="5">
        <f>unitlist3[[#This Row],[health]]/unitlist3[[#This Row],[buildtime]]</f>
        <v>6.4545454545454545E-2</v>
      </c>
      <c r="R206" s="5">
        <f>unitlist3[[#This Row],[dps]]/unitlist3[[#This Row],[metalcost]]</f>
        <v>3.3333333333333332E-4</v>
      </c>
      <c r="Z206">
        <v>1</v>
      </c>
      <c r="AA206">
        <v>1</v>
      </c>
      <c r="AB206">
        <v>10</v>
      </c>
      <c r="AF206">
        <v>273</v>
      </c>
      <c r="AG206">
        <v>410</v>
      </c>
      <c r="AH206" t="s">
        <v>398</v>
      </c>
      <c r="AI206" t="s">
        <v>399</v>
      </c>
      <c r="AJ206" t="s">
        <v>41</v>
      </c>
      <c r="AK206">
        <v>1</v>
      </c>
      <c r="AL206" t="s">
        <v>1359</v>
      </c>
      <c r="AM206" t="s">
        <v>41</v>
      </c>
    </row>
    <row r="207" spans="1:39" hidden="1">
      <c r="A207" t="s">
        <v>978</v>
      </c>
      <c r="B207" t="s">
        <v>806</v>
      </c>
      <c r="C207">
        <v>2</v>
      </c>
      <c r="D207" t="s">
        <v>979</v>
      </c>
      <c r="E207" t="s">
        <v>397</v>
      </c>
      <c r="F207" t="s">
        <v>41</v>
      </c>
      <c r="G207" t="s">
        <v>398</v>
      </c>
      <c r="H207">
        <v>52</v>
      </c>
      <c r="I207">
        <v>3200</v>
      </c>
      <c r="J207">
        <v>55000</v>
      </c>
      <c r="K207">
        <v>55000</v>
      </c>
      <c r="L207">
        <v>0</v>
      </c>
      <c r="M207">
        <v>0</v>
      </c>
      <c r="N207">
        <v>0</v>
      </c>
      <c r="O207">
        <v>0</v>
      </c>
      <c r="P207">
        <v>3550</v>
      </c>
      <c r="Q207" s="5">
        <f>unitlist3[[#This Row],[health]]/unitlist3[[#This Row],[buildtime]]</f>
        <v>6.4545454545454545E-2</v>
      </c>
      <c r="R207" s="5">
        <f>unitlist3[[#This Row],[dps]]/unitlist3[[#This Row],[metalcost]]</f>
        <v>3.1250000000000001E-4</v>
      </c>
      <c r="Z207">
        <v>1</v>
      </c>
      <c r="AA207">
        <v>1</v>
      </c>
      <c r="AB207">
        <v>10</v>
      </c>
      <c r="AF207">
        <v>273</v>
      </c>
      <c r="AG207">
        <v>410</v>
      </c>
      <c r="AH207" t="s">
        <v>398</v>
      </c>
      <c r="AI207" t="s">
        <v>399</v>
      </c>
      <c r="AJ207" t="s">
        <v>41</v>
      </c>
      <c r="AK207">
        <v>1</v>
      </c>
      <c r="AL207" t="s">
        <v>1553</v>
      </c>
      <c r="AM207" t="s">
        <v>41</v>
      </c>
    </row>
    <row r="208" spans="1:39" hidden="1">
      <c r="A208" t="s">
        <v>44</v>
      </c>
      <c r="B208" t="s">
        <v>38</v>
      </c>
      <c r="C208">
        <v>2</v>
      </c>
      <c r="D208" t="s">
        <v>45</v>
      </c>
      <c r="E208" t="s">
        <v>46</v>
      </c>
      <c r="F208" t="s">
        <v>41</v>
      </c>
      <c r="G208" t="s">
        <v>47</v>
      </c>
      <c r="H208">
        <v>85</v>
      </c>
      <c r="I208">
        <v>3200</v>
      </c>
      <c r="J208">
        <v>29000</v>
      </c>
      <c r="K208">
        <v>20900</v>
      </c>
      <c r="L208">
        <v>0</v>
      </c>
      <c r="M208">
        <v>0</v>
      </c>
      <c r="N208">
        <v>200</v>
      </c>
      <c r="O208">
        <v>0</v>
      </c>
      <c r="P208">
        <v>3750</v>
      </c>
      <c r="Q208" s="5">
        <f>unitlist3[[#This Row],[health]]/unitlist3[[#This Row],[buildtime]]</f>
        <v>0.17942583732057416</v>
      </c>
      <c r="R208" s="5">
        <f>unitlist3[[#This Row],[dps]]/unitlist3[[#This Row],[metalcost]]</f>
        <v>0</v>
      </c>
      <c r="Z208">
        <v>1</v>
      </c>
      <c r="AA208">
        <v>0</v>
      </c>
      <c r="AB208">
        <v>0</v>
      </c>
      <c r="AE208">
        <v>1000</v>
      </c>
      <c r="AF208">
        <v>312</v>
      </c>
      <c r="AG208">
        <v>468</v>
      </c>
      <c r="AH208" t="s">
        <v>48</v>
      </c>
      <c r="AI208" t="s">
        <v>41</v>
      </c>
      <c r="AJ208" t="s">
        <v>49</v>
      </c>
      <c r="AK208">
        <v>1</v>
      </c>
      <c r="AL208" t="s">
        <v>1273</v>
      </c>
      <c r="AM208" t="s">
        <v>41</v>
      </c>
    </row>
    <row r="209" spans="1:39" hidden="1">
      <c r="A209" t="s">
        <v>55</v>
      </c>
      <c r="B209" t="s">
        <v>38</v>
      </c>
      <c r="C209">
        <v>2</v>
      </c>
      <c r="D209" t="s">
        <v>56</v>
      </c>
      <c r="E209" t="s">
        <v>57</v>
      </c>
      <c r="F209" t="s">
        <v>41</v>
      </c>
      <c r="G209" t="s">
        <v>58</v>
      </c>
      <c r="H209">
        <v>11</v>
      </c>
      <c r="I209">
        <v>340</v>
      </c>
      <c r="J209">
        <v>12000</v>
      </c>
      <c r="K209">
        <v>17750</v>
      </c>
      <c r="L209">
        <v>0</v>
      </c>
      <c r="M209">
        <v>10</v>
      </c>
      <c r="N209">
        <v>100</v>
      </c>
      <c r="O209">
        <v>192</v>
      </c>
      <c r="P209">
        <v>200</v>
      </c>
      <c r="Q209" s="5">
        <f>unitlist3[[#This Row],[health]]/unitlist3[[#This Row],[buildtime]]</f>
        <v>1.1267605633802818E-2</v>
      </c>
      <c r="R209" s="5">
        <f>unitlist3[[#This Row],[dps]]/unitlist3[[#This Row],[metalcost]]</f>
        <v>0</v>
      </c>
      <c r="U209">
        <v>1</v>
      </c>
      <c r="AA209">
        <v>0</v>
      </c>
      <c r="AB209">
        <v>0</v>
      </c>
      <c r="AE209">
        <v>50</v>
      </c>
      <c r="AF209">
        <v>384</v>
      </c>
      <c r="AG209">
        <v>575</v>
      </c>
      <c r="AH209" t="s">
        <v>41</v>
      </c>
      <c r="AI209" t="s">
        <v>41</v>
      </c>
      <c r="AJ209" t="s">
        <v>59</v>
      </c>
      <c r="AK209">
        <v>1</v>
      </c>
      <c r="AL209" t="s">
        <v>1275</v>
      </c>
      <c r="AM209" t="s">
        <v>41</v>
      </c>
    </row>
    <row r="210" spans="1:39">
      <c r="A210" t="s">
        <v>60</v>
      </c>
      <c r="B210" t="s">
        <v>38</v>
      </c>
      <c r="C210">
        <v>2</v>
      </c>
      <c r="D210" t="s">
        <v>61</v>
      </c>
      <c r="E210" t="s">
        <v>57</v>
      </c>
      <c r="F210" t="s">
        <v>41</v>
      </c>
      <c r="G210" t="s">
        <v>62</v>
      </c>
      <c r="H210">
        <v>34</v>
      </c>
      <c r="I210">
        <v>430</v>
      </c>
      <c r="J210">
        <v>6900</v>
      </c>
      <c r="K210">
        <v>9500</v>
      </c>
      <c r="L210">
        <v>0</v>
      </c>
      <c r="M210">
        <v>14</v>
      </c>
      <c r="N210">
        <v>180</v>
      </c>
      <c r="O210">
        <v>33</v>
      </c>
      <c r="P210">
        <v>930</v>
      </c>
      <c r="Q210" s="5">
        <f>unitlist3[[#This Row],[health]]/unitlist3[[#This Row],[buildtime]]</f>
        <v>9.7894736842105257E-2</v>
      </c>
      <c r="R210" s="5">
        <f>unitlist3[[#This Row],[dps]]/unitlist3[[#This Row],[metalcost]]</f>
        <v>0</v>
      </c>
      <c r="AA210">
        <v>0</v>
      </c>
      <c r="AB210">
        <v>0</v>
      </c>
      <c r="AE210">
        <v>50</v>
      </c>
      <c r="AF210">
        <v>324</v>
      </c>
      <c r="AG210">
        <v>486</v>
      </c>
      <c r="AH210" t="s">
        <v>41</v>
      </c>
      <c r="AI210" t="s">
        <v>41</v>
      </c>
      <c r="AJ210" t="s">
        <v>63</v>
      </c>
      <c r="AK210">
        <v>1</v>
      </c>
      <c r="AL210" t="s">
        <v>1276</v>
      </c>
      <c r="AM210" t="s">
        <v>41</v>
      </c>
    </row>
    <row r="211" spans="1:39">
      <c r="A211" t="s">
        <v>64</v>
      </c>
      <c r="B211" t="s">
        <v>38</v>
      </c>
      <c r="C211">
        <v>2</v>
      </c>
      <c r="D211" t="s">
        <v>65</v>
      </c>
      <c r="E211" t="s">
        <v>57</v>
      </c>
      <c r="F211" t="s">
        <v>41</v>
      </c>
      <c r="G211" t="s">
        <v>66</v>
      </c>
      <c r="H211">
        <v>26</v>
      </c>
      <c r="I211">
        <v>700</v>
      </c>
      <c r="J211">
        <v>9000</v>
      </c>
      <c r="K211">
        <v>18000</v>
      </c>
      <c r="L211">
        <v>0</v>
      </c>
      <c r="M211">
        <v>30</v>
      </c>
      <c r="N211">
        <v>300</v>
      </c>
      <c r="O211">
        <v>72</v>
      </c>
      <c r="P211">
        <v>1110</v>
      </c>
      <c r="Q211" s="5">
        <f>unitlist3[[#This Row],[health]]/unitlist3[[#This Row],[buildtime]]</f>
        <v>6.1666666666666668E-2</v>
      </c>
      <c r="R211" s="5">
        <f>unitlist3[[#This Row],[dps]]/unitlist3[[#This Row],[metalcost]]</f>
        <v>0</v>
      </c>
      <c r="T211">
        <v>1</v>
      </c>
      <c r="AA211">
        <v>0</v>
      </c>
      <c r="AB211">
        <v>0</v>
      </c>
      <c r="AE211">
        <v>50</v>
      </c>
      <c r="AF211">
        <v>156</v>
      </c>
      <c r="AG211">
        <v>234</v>
      </c>
      <c r="AH211" t="s">
        <v>41</v>
      </c>
      <c r="AI211" t="s">
        <v>41</v>
      </c>
      <c r="AJ211" t="s">
        <v>67</v>
      </c>
      <c r="AK211">
        <v>1</v>
      </c>
      <c r="AL211" t="s">
        <v>1277</v>
      </c>
      <c r="AM211" t="s">
        <v>41</v>
      </c>
    </row>
    <row r="212" spans="1:39">
      <c r="A212" t="s">
        <v>68</v>
      </c>
      <c r="B212" t="s">
        <v>38</v>
      </c>
      <c r="C212">
        <v>2</v>
      </c>
      <c r="D212" t="s">
        <v>69</v>
      </c>
      <c r="E212" t="s">
        <v>57</v>
      </c>
      <c r="F212" t="s">
        <v>41</v>
      </c>
      <c r="G212" t="s">
        <v>70</v>
      </c>
      <c r="H212">
        <v>32</v>
      </c>
      <c r="I212">
        <v>550</v>
      </c>
      <c r="J212">
        <v>6800</v>
      </c>
      <c r="K212">
        <v>12400</v>
      </c>
      <c r="L212">
        <v>0</v>
      </c>
      <c r="M212">
        <v>20</v>
      </c>
      <c r="N212">
        <v>250</v>
      </c>
      <c r="O212">
        <v>53</v>
      </c>
      <c r="P212">
        <v>2050</v>
      </c>
      <c r="Q212" s="5">
        <f>unitlist3[[#This Row],[health]]/unitlist3[[#This Row],[buildtime]]</f>
        <v>0.16532258064516128</v>
      </c>
      <c r="R212" s="5">
        <f>unitlist3[[#This Row],[dps]]/unitlist3[[#This Row],[metalcost]]</f>
        <v>0</v>
      </c>
      <c r="AA212">
        <v>0</v>
      </c>
      <c r="AB212">
        <v>0</v>
      </c>
      <c r="AE212">
        <v>50</v>
      </c>
      <c r="AF212">
        <v>290</v>
      </c>
      <c r="AG212">
        <v>435</v>
      </c>
      <c r="AH212" t="s">
        <v>41</v>
      </c>
      <c r="AI212" t="s">
        <v>41</v>
      </c>
      <c r="AJ212" t="s">
        <v>71</v>
      </c>
      <c r="AK212">
        <v>1</v>
      </c>
      <c r="AL212" t="s">
        <v>1278</v>
      </c>
      <c r="AM212" t="s">
        <v>41</v>
      </c>
    </row>
    <row r="213" spans="1:39" hidden="1">
      <c r="A213" t="s">
        <v>72</v>
      </c>
      <c r="B213" t="s">
        <v>38</v>
      </c>
      <c r="C213">
        <v>1</v>
      </c>
      <c r="D213" t="s">
        <v>73</v>
      </c>
      <c r="E213" t="s">
        <v>74</v>
      </c>
      <c r="F213" t="s">
        <v>41</v>
      </c>
      <c r="G213" t="s">
        <v>75</v>
      </c>
      <c r="H213">
        <v>32</v>
      </c>
      <c r="I213">
        <v>370</v>
      </c>
      <c r="J213">
        <v>5000</v>
      </c>
      <c r="K213">
        <v>7950</v>
      </c>
      <c r="L213">
        <v>0</v>
      </c>
      <c r="M213">
        <v>75</v>
      </c>
      <c r="N213">
        <v>0</v>
      </c>
      <c r="O213">
        <v>0</v>
      </c>
      <c r="P213">
        <v>1130</v>
      </c>
      <c r="Q213" s="5">
        <f>unitlist3[[#This Row],[health]]/unitlist3[[#This Row],[buildtime]]</f>
        <v>0.14213836477987421</v>
      </c>
      <c r="R213" s="5">
        <f>unitlist3[[#This Row],[dps]]/unitlist3[[#This Row],[metalcost]]</f>
        <v>0</v>
      </c>
      <c r="Z213">
        <v>1</v>
      </c>
      <c r="AA213">
        <v>0</v>
      </c>
      <c r="AB213">
        <v>0</v>
      </c>
      <c r="AF213">
        <v>260</v>
      </c>
      <c r="AG213">
        <v>390</v>
      </c>
      <c r="AH213" t="s">
        <v>41</v>
      </c>
      <c r="AI213" t="s">
        <v>41</v>
      </c>
      <c r="AJ213" t="s">
        <v>41</v>
      </c>
      <c r="AK213">
        <v>1</v>
      </c>
      <c r="AL213" t="s">
        <v>1279</v>
      </c>
      <c r="AM213" t="s">
        <v>41</v>
      </c>
    </row>
    <row r="214" spans="1:39" hidden="1">
      <c r="A214" t="s">
        <v>76</v>
      </c>
      <c r="B214" t="s">
        <v>38</v>
      </c>
      <c r="C214">
        <v>2</v>
      </c>
      <c r="D214" t="s">
        <v>77</v>
      </c>
      <c r="E214" t="s">
        <v>78</v>
      </c>
      <c r="F214" t="s">
        <v>41</v>
      </c>
      <c r="G214" t="s">
        <v>79</v>
      </c>
      <c r="H214">
        <v>85</v>
      </c>
      <c r="I214">
        <v>9700</v>
      </c>
      <c r="J214">
        <v>69000</v>
      </c>
      <c r="K214">
        <v>312500</v>
      </c>
      <c r="L214">
        <v>0</v>
      </c>
      <c r="M214">
        <v>3000</v>
      </c>
      <c r="N214">
        <v>0</v>
      </c>
      <c r="O214">
        <v>0</v>
      </c>
      <c r="P214">
        <v>7900</v>
      </c>
      <c r="Q214" s="5">
        <f>unitlist3[[#This Row],[health]]/unitlist3[[#This Row],[buildtime]]</f>
        <v>2.528E-2</v>
      </c>
      <c r="R214" s="5">
        <f>unitlist3[[#This Row],[dps]]/unitlist3[[#This Row],[metalcost]]</f>
        <v>0</v>
      </c>
      <c r="Z214">
        <v>1</v>
      </c>
      <c r="AA214">
        <v>0</v>
      </c>
      <c r="AB214">
        <v>0</v>
      </c>
      <c r="AF214">
        <v>273</v>
      </c>
      <c r="AG214">
        <v>410</v>
      </c>
      <c r="AH214" t="s">
        <v>41</v>
      </c>
      <c r="AI214" t="s">
        <v>41</v>
      </c>
      <c r="AJ214" t="s">
        <v>41</v>
      </c>
      <c r="AK214">
        <v>1</v>
      </c>
      <c r="AL214" t="s">
        <v>1280</v>
      </c>
      <c r="AM214" t="s">
        <v>41</v>
      </c>
    </row>
    <row r="215" spans="1:39" hidden="1">
      <c r="A215" t="s">
        <v>80</v>
      </c>
      <c r="B215" t="s">
        <v>38</v>
      </c>
      <c r="C215">
        <v>2</v>
      </c>
      <c r="D215" t="s">
        <v>81</v>
      </c>
      <c r="E215" t="s">
        <v>82</v>
      </c>
      <c r="F215" t="s">
        <v>41</v>
      </c>
      <c r="G215" t="s">
        <v>83</v>
      </c>
      <c r="H215">
        <v>56</v>
      </c>
      <c r="I215">
        <v>1600</v>
      </c>
      <c r="J215">
        <v>27000</v>
      </c>
      <c r="K215">
        <v>33300</v>
      </c>
      <c r="L215">
        <v>0</v>
      </c>
      <c r="M215">
        <v>1250</v>
      </c>
      <c r="N215">
        <v>0</v>
      </c>
      <c r="O215">
        <v>0</v>
      </c>
      <c r="P215">
        <v>3600</v>
      </c>
      <c r="Q215" s="5">
        <f>unitlist3[[#This Row],[health]]/unitlist3[[#This Row],[buildtime]]</f>
        <v>0.10810810810810811</v>
      </c>
      <c r="R215" s="5">
        <f>unitlist3[[#This Row],[dps]]/unitlist3[[#This Row],[metalcost]]</f>
        <v>0</v>
      </c>
      <c r="Z215">
        <v>1</v>
      </c>
      <c r="AA215">
        <v>0</v>
      </c>
      <c r="AB215">
        <v>0</v>
      </c>
      <c r="AF215">
        <v>273</v>
      </c>
      <c r="AG215">
        <v>410</v>
      </c>
      <c r="AH215" t="s">
        <v>41</v>
      </c>
      <c r="AI215" t="s">
        <v>41</v>
      </c>
      <c r="AJ215" t="s">
        <v>41</v>
      </c>
      <c r="AK215">
        <v>1</v>
      </c>
      <c r="AL215" t="s">
        <v>1281</v>
      </c>
      <c r="AM215" t="s">
        <v>41</v>
      </c>
    </row>
    <row r="216" spans="1:39" hidden="1">
      <c r="A216" t="s">
        <v>89</v>
      </c>
      <c r="B216" t="s">
        <v>38</v>
      </c>
      <c r="C216">
        <v>2</v>
      </c>
      <c r="D216" t="s">
        <v>90</v>
      </c>
      <c r="E216" t="s">
        <v>91</v>
      </c>
      <c r="F216" t="s">
        <v>41</v>
      </c>
      <c r="G216" t="s">
        <v>92</v>
      </c>
      <c r="H216">
        <v>65</v>
      </c>
      <c r="I216">
        <v>2900</v>
      </c>
      <c r="J216">
        <v>15000</v>
      </c>
      <c r="K216">
        <v>16200</v>
      </c>
      <c r="L216">
        <v>0</v>
      </c>
      <c r="M216">
        <v>0</v>
      </c>
      <c r="N216">
        <v>300</v>
      </c>
      <c r="O216">
        <v>0</v>
      </c>
      <c r="P216">
        <v>4250</v>
      </c>
      <c r="Q216" s="5">
        <f>unitlist3[[#This Row],[health]]/unitlist3[[#This Row],[buildtime]]</f>
        <v>0.26234567901234568</v>
      </c>
      <c r="R216" s="5">
        <f>unitlist3[[#This Row],[dps]]/unitlist3[[#This Row],[metalcost]]</f>
        <v>0</v>
      </c>
      <c r="Z216">
        <v>1</v>
      </c>
      <c r="AA216">
        <v>0</v>
      </c>
      <c r="AB216">
        <v>0</v>
      </c>
      <c r="AF216">
        <v>286</v>
      </c>
      <c r="AG216">
        <v>429</v>
      </c>
      <c r="AH216" t="s">
        <v>41</v>
      </c>
      <c r="AI216" t="s">
        <v>41</v>
      </c>
      <c r="AJ216" t="s">
        <v>93</v>
      </c>
      <c r="AK216">
        <v>1</v>
      </c>
      <c r="AL216" t="s">
        <v>1283</v>
      </c>
      <c r="AM216" t="s">
        <v>41</v>
      </c>
    </row>
    <row r="217" spans="1:39" hidden="1">
      <c r="A217" t="s">
        <v>105</v>
      </c>
      <c r="B217" t="s">
        <v>38</v>
      </c>
      <c r="C217">
        <v>1</v>
      </c>
      <c r="D217" t="s">
        <v>106</v>
      </c>
      <c r="E217" t="s">
        <v>107</v>
      </c>
      <c r="F217" t="s">
        <v>41</v>
      </c>
      <c r="G217" t="s">
        <v>108</v>
      </c>
      <c r="H217">
        <v>35</v>
      </c>
      <c r="I217">
        <v>200</v>
      </c>
      <c r="J217">
        <v>1500</v>
      </c>
      <c r="K217">
        <v>1800</v>
      </c>
      <c r="L217">
        <v>0</v>
      </c>
      <c r="M217">
        <v>0</v>
      </c>
      <c r="N217">
        <v>0</v>
      </c>
      <c r="O217">
        <v>0</v>
      </c>
      <c r="P217">
        <v>1610</v>
      </c>
      <c r="Q217" s="5">
        <f>unitlist3[[#This Row],[health]]/unitlist3[[#This Row],[buildtime]]</f>
        <v>0.89444444444444449</v>
      </c>
      <c r="R217" s="5">
        <f>unitlist3[[#This Row],[dps]]/unitlist3[[#This Row],[metalcost]]</f>
        <v>0</v>
      </c>
      <c r="Z217">
        <v>1</v>
      </c>
      <c r="AA217">
        <v>0</v>
      </c>
      <c r="AB217">
        <v>0</v>
      </c>
      <c r="AF217">
        <v>286</v>
      </c>
      <c r="AG217">
        <v>429</v>
      </c>
      <c r="AH217" t="s">
        <v>109</v>
      </c>
      <c r="AI217" t="s">
        <v>41</v>
      </c>
      <c r="AJ217" t="s">
        <v>41</v>
      </c>
      <c r="AK217">
        <v>1</v>
      </c>
      <c r="AL217" t="s">
        <v>1286</v>
      </c>
      <c r="AM217" t="s">
        <v>41</v>
      </c>
    </row>
    <row r="218" spans="1:39" hidden="1">
      <c r="A218" t="s">
        <v>115</v>
      </c>
      <c r="B218" t="s">
        <v>38</v>
      </c>
      <c r="C218">
        <v>1</v>
      </c>
      <c r="D218" t="s">
        <v>116</v>
      </c>
      <c r="E218" t="s">
        <v>117</v>
      </c>
      <c r="F218" t="s">
        <v>41</v>
      </c>
      <c r="G218" t="s">
        <v>118</v>
      </c>
      <c r="H218">
        <v>64</v>
      </c>
      <c r="I218">
        <v>1200</v>
      </c>
      <c r="J218">
        <v>5500</v>
      </c>
      <c r="K218">
        <v>11100</v>
      </c>
      <c r="L218">
        <v>0</v>
      </c>
      <c r="M218">
        <v>0</v>
      </c>
      <c r="N218">
        <v>150</v>
      </c>
      <c r="O218">
        <v>0</v>
      </c>
      <c r="P218">
        <v>2650</v>
      </c>
      <c r="Q218" s="5">
        <f>unitlist3[[#This Row],[health]]/unitlist3[[#This Row],[buildtime]]</f>
        <v>0.23873873873873874</v>
      </c>
      <c r="R218" s="5">
        <f>unitlist3[[#This Row],[dps]]/unitlist3[[#This Row],[metalcost]]</f>
        <v>0</v>
      </c>
      <c r="T218">
        <v>1</v>
      </c>
      <c r="Z218">
        <v>1</v>
      </c>
      <c r="AA218">
        <v>0</v>
      </c>
      <c r="AB218">
        <v>0</v>
      </c>
      <c r="AF218">
        <v>234</v>
      </c>
      <c r="AG218">
        <v>351</v>
      </c>
      <c r="AH218" t="s">
        <v>41</v>
      </c>
      <c r="AI218" t="s">
        <v>41</v>
      </c>
      <c r="AJ218" t="s">
        <v>119</v>
      </c>
      <c r="AK218">
        <v>1</v>
      </c>
      <c r="AL218" t="s">
        <v>1288</v>
      </c>
      <c r="AM218" t="s">
        <v>41</v>
      </c>
    </row>
    <row r="219" spans="1:39" hidden="1">
      <c r="A219" t="s">
        <v>132</v>
      </c>
      <c r="B219" t="s">
        <v>38</v>
      </c>
      <c r="C219">
        <v>1</v>
      </c>
      <c r="D219" t="s">
        <v>133</v>
      </c>
      <c r="E219" t="s">
        <v>134</v>
      </c>
      <c r="F219" t="s">
        <v>41</v>
      </c>
      <c r="G219" t="s">
        <v>135</v>
      </c>
      <c r="H219">
        <v>50</v>
      </c>
      <c r="I219">
        <v>860</v>
      </c>
      <c r="J219">
        <v>1350</v>
      </c>
      <c r="K219">
        <v>7250</v>
      </c>
      <c r="L219">
        <v>0</v>
      </c>
      <c r="M219">
        <v>0</v>
      </c>
      <c r="N219">
        <v>100</v>
      </c>
      <c r="O219">
        <v>0</v>
      </c>
      <c r="P219">
        <v>2050</v>
      </c>
      <c r="Q219" s="5">
        <f>unitlist3[[#This Row],[health]]/unitlist3[[#This Row],[buildtime]]</f>
        <v>0.28275862068965518</v>
      </c>
      <c r="R219" s="5">
        <f>unitlist3[[#This Row],[dps]]/unitlist3[[#This Row],[metalcost]]</f>
        <v>0</v>
      </c>
      <c r="Z219">
        <v>1</v>
      </c>
      <c r="AA219">
        <v>0</v>
      </c>
      <c r="AB219">
        <v>0</v>
      </c>
      <c r="AE219">
        <v>510</v>
      </c>
      <c r="AF219">
        <v>292</v>
      </c>
      <c r="AG219">
        <v>438</v>
      </c>
      <c r="AH219" t="s">
        <v>41</v>
      </c>
      <c r="AI219" t="s">
        <v>41</v>
      </c>
      <c r="AJ219" t="s">
        <v>1293</v>
      </c>
      <c r="AK219">
        <v>1</v>
      </c>
      <c r="AL219" t="s">
        <v>1294</v>
      </c>
      <c r="AM219" t="s">
        <v>41</v>
      </c>
    </row>
    <row r="220" spans="1:39" hidden="1">
      <c r="A220" t="s">
        <v>136</v>
      </c>
      <c r="B220" t="s">
        <v>38</v>
      </c>
      <c r="C220">
        <v>2</v>
      </c>
      <c r="D220" t="s">
        <v>137</v>
      </c>
      <c r="E220" t="s">
        <v>138</v>
      </c>
      <c r="F220" t="s">
        <v>41</v>
      </c>
      <c r="G220" t="s">
        <v>139</v>
      </c>
      <c r="H220">
        <v>21</v>
      </c>
      <c r="I220">
        <v>560</v>
      </c>
      <c r="J220">
        <v>19000</v>
      </c>
      <c r="K220">
        <v>11800</v>
      </c>
      <c r="L220">
        <v>0</v>
      </c>
      <c r="M220">
        <v>0</v>
      </c>
      <c r="N220">
        <v>0</v>
      </c>
      <c r="O220">
        <v>0</v>
      </c>
      <c r="P220">
        <v>355</v>
      </c>
      <c r="Q220" s="5">
        <f>unitlist3[[#This Row],[health]]/unitlist3[[#This Row],[buildtime]]</f>
        <v>3.0084745762711865E-2</v>
      </c>
      <c r="R220" s="5">
        <f>unitlist3[[#This Row],[dps]]/unitlist3[[#This Row],[metalcost]]</f>
        <v>0</v>
      </c>
      <c r="Z220">
        <v>1</v>
      </c>
      <c r="AA220">
        <v>0</v>
      </c>
      <c r="AB220">
        <v>0</v>
      </c>
      <c r="AE220">
        <v>3500</v>
      </c>
      <c r="AF220">
        <v>820</v>
      </c>
      <c r="AG220">
        <v>1230</v>
      </c>
      <c r="AH220" t="s">
        <v>48</v>
      </c>
      <c r="AI220" t="s">
        <v>41</v>
      </c>
      <c r="AJ220" t="s">
        <v>41</v>
      </c>
      <c r="AK220">
        <v>1</v>
      </c>
      <c r="AL220" t="s">
        <v>1295</v>
      </c>
      <c r="AM220" t="s">
        <v>41</v>
      </c>
    </row>
    <row r="221" spans="1:39">
      <c r="A221" t="s">
        <v>144</v>
      </c>
      <c r="B221" t="s">
        <v>38</v>
      </c>
      <c r="C221">
        <v>2</v>
      </c>
      <c r="D221" t="s">
        <v>145</v>
      </c>
      <c r="E221" t="s">
        <v>146</v>
      </c>
      <c r="F221" t="s">
        <v>41</v>
      </c>
      <c r="G221" t="s">
        <v>147</v>
      </c>
      <c r="H221">
        <v>34</v>
      </c>
      <c r="I221">
        <v>78</v>
      </c>
      <c r="J221">
        <v>1400</v>
      </c>
      <c r="K221">
        <v>4940</v>
      </c>
      <c r="L221">
        <v>0</v>
      </c>
      <c r="M221">
        <v>0</v>
      </c>
      <c r="N221">
        <v>0</v>
      </c>
      <c r="O221">
        <v>48</v>
      </c>
      <c r="P221">
        <v>340</v>
      </c>
      <c r="Q221" s="5">
        <f>unitlist3[[#This Row],[health]]/unitlist3[[#This Row],[buildtime]]</f>
        <v>6.8825910931174086E-2</v>
      </c>
      <c r="R221" s="5">
        <f>unitlist3[[#This Row],[dps]]/unitlist3[[#This Row],[metalcost]]</f>
        <v>0</v>
      </c>
      <c r="AA221">
        <v>0</v>
      </c>
      <c r="AB221">
        <v>0</v>
      </c>
      <c r="AC221">
        <v>450</v>
      </c>
      <c r="AF221">
        <v>260</v>
      </c>
      <c r="AG221">
        <v>390</v>
      </c>
      <c r="AH221" t="s">
        <v>148</v>
      </c>
      <c r="AI221" t="s">
        <v>41</v>
      </c>
      <c r="AJ221" t="s">
        <v>41</v>
      </c>
      <c r="AK221">
        <v>1</v>
      </c>
      <c r="AL221" t="s">
        <v>1297</v>
      </c>
      <c r="AM221" t="s">
        <v>41</v>
      </c>
    </row>
    <row r="222" spans="1:39" hidden="1">
      <c r="A222" t="s">
        <v>149</v>
      </c>
      <c r="B222" t="s">
        <v>38</v>
      </c>
      <c r="C222">
        <v>2</v>
      </c>
      <c r="D222" t="s">
        <v>150</v>
      </c>
      <c r="E222" t="s">
        <v>151</v>
      </c>
      <c r="F222" t="s">
        <v>41</v>
      </c>
      <c r="G222" t="s">
        <v>139</v>
      </c>
      <c r="H222">
        <v>53</v>
      </c>
      <c r="I222">
        <v>170</v>
      </c>
      <c r="J222">
        <v>2600</v>
      </c>
      <c r="K222">
        <v>6150</v>
      </c>
      <c r="L222">
        <v>0</v>
      </c>
      <c r="M222">
        <v>0</v>
      </c>
      <c r="N222">
        <v>0</v>
      </c>
      <c r="O222">
        <v>0</v>
      </c>
      <c r="P222">
        <v>2350</v>
      </c>
      <c r="Q222" s="5">
        <f>unitlist3[[#This Row],[health]]/unitlist3[[#This Row],[buildtime]]</f>
        <v>0.38211382113821141</v>
      </c>
      <c r="R222" s="5">
        <f>unitlist3[[#This Row],[dps]]/unitlist3[[#This Row],[metalcost]]</f>
        <v>0</v>
      </c>
      <c r="T222">
        <v>1</v>
      </c>
      <c r="Z222">
        <v>1</v>
      </c>
      <c r="AA222">
        <v>0</v>
      </c>
      <c r="AB222">
        <v>0</v>
      </c>
      <c r="AD222">
        <v>1600</v>
      </c>
      <c r="AF222">
        <v>215</v>
      </c>
      <c r="AG222">
        <v>323</v>
      </c>
      <c r="AH222" t="s">
        <v>41</v>
      </c>
      <c r="AI222" t="s">
        <v>41</v>
      </c>
      <c r="AJ222" t="s">
        <v>41</v>
      </c>
      <c r="AK222">
        <v>1</v>
      </c>
      <c r="AL222" t="s">
        <v>1298</v>
      </c>
      <c r="AM222" t="s">
        <v>41</v>
      </c>
    </row>
    <row r="223" spans="1:39" hidden="1">
      <c r="A223" t="s">
        <v>152</v>
      </c>
      <c r="B223" t="s">
        <v>38</v>
      </c>
      <c r="C223">
        <v>1</v>
      </c>
      <c r="D223" t="s">
        <v>153</v>
      </c>
      <c r="E223" t="s">
        <v>154</v>
      </c>
      <c r="F223" t="s">
        <v>41</v>
      </c>
      <c r="G223" t="s">
        <v>155</v>
      </c>
      <c r="H223">
        <v>62</v>
      </c>
      <c r="I223">
        <v>400</v>
      </c>
      <c r="J223">
        <v>4300</v>
      </c>
      <c r="K223">
        <v>9100</v>
      </c>
      <c r="L223">
        <v>0</v>
      </c>
      <c r="M223">
        <v>0</v>
      </c>
      <c r="N223">
        <v>1000</v>
      </c>
      <c r="O223">
        <v>0</v>
      </c>
      <c r="P223">
        <v>1670</v>
      </c>
      <c r="Q223" s="5">
        <f>unitlist3[[#This Row],[health]]/unitlist3[[#This Row],[buildtime]]</f>
        <v>0.1835164835164835</v>
      </c>
      <c r="R223" s="5">
        <f>unitlist3[[#This Row],[dps]]/unitlist3[[#This Row],[metalcost]]</f>
        <v>0</v>
      </c>
      <c r="Z223">
        <v>1</v>
      </c>
      <c r="AA223">
        <v>0</v>
      </c>
      <c r="AB223">
        <v>0</v>
      </c>
      <c r="AF223">
        <v>358</v>
      </c>
      <c r="AG223">
        <v>536</v>
      </c>
      <c r="AH223" t="s">
        <v>156</v>
      </c>
      <c r="AI223" t="s">
        <v>41</v>
      </c>
      <c r="AJ223" t="s">
        <v>41</v>
      </c>
      <c r="AK223">
        <v>1</v>
      </c>
      <c r="AL223" t="s">
        <v>1299</v>
      </c>
      <c r="AM223" t="s">
        <v>41</v>
      </c>
    </row>
    <row r="224" spans="1:39" hidden="1">
      <c r="A224" t="s">
        <v>159</v>
      </c>
      <c r="B224" t="s">
        <v>38</v>
      </c>
      <c r="C224">
        <v>2</v>
      </c>
      <c r="D224" t="s">
        <v>160</v>
      </c>
      <c r="E224" t="s">
        <v>161</v>
      </c>
      <c r="F224" t="s">
        <v>41</v>
      </c>
      <c r="G224" t="s">
        <v>162</v>
      </c>
      <c r="H224">
        <v>37</v>
      </c>
      <c r="I224">
        <v>3200</v>
      </c>
      <c r="J224">
        <v>9700</v>
      </c>
      <c r="K224">
        <v>16000</v>
      </c>
      <c r="L224">
        <v>0</v>
      </c>
      <c r="M224">
        <v>0</v>
      </c>
      <c r="N224">
        <v>300</v>
      </c>
      <c r="O224">
        <v>0</v>
      </c>
      <c r="P224">
        <v>6000</v>
      </c>
      <c r="Q224" s="5">
        <f>unitlist3[[#This Row],[health]]/unitlist3[[#This Row],[buildtime]]</f>
        <v>0.375</v>
      </c>
      <c r="R224" s="5">
        <f>unitlist3[[#This Row],[dps]]/unitlist3[[#This Row],[metalcost]]</f>
        <v>0</v>
      </c>
      <c r="Z224">
        <v>1</v>
      </c>
      <c r="AA224">
        <v>0</v>
      </c>
      <c r="AB224">
        <v>0</v>
      </c>
      <c r="AF224">
        <v>299</v>
      </c>
      <c r="AG224">
        <v>449</v>
      </c>
      <c r="AH224" t="s">
        <v>41</v>
      </c>
      <c r="AI224" t="s">
        <v>41</v>
      </c>
      <c r="AJ224" t="s">
        <v>163</v>
      </c>
      <c r="AK224">
        <v>1</v>
      </c>
      <c r="AL224" t="s">
        <v>1300</v>
      </c>
      <c r="AM224" t="s">
        <v>41</v>
      </c>
    </row>
    <row r="225" spans="1:39" hidden="1">
      <c r="A225" t="s">
        <v>169</v>
      </c>
      <c r="B225" t="s">
        <v>38</v>
      </c>
      <c r="C225">
        <v>1</v>
      </c>
      <c r="D225" t="s">
        <v>170</v>
      </c>
      <c r="E225" t="s">
        <v>1302</v>
      </c>
      <c r="F225" t="s">
        <v>41</v>
      </c>
      <c r="G225" t="s">
        <v>171</v>
      </c>
      <c r="H225">
        <v>23</v>
      </c>
      <c r="I225">
        <v>68</v>
      </c>
      <c r="J225">
        <v>1300</v>
      </c>
      <c r="K225">
        <v>3850</v>
      </c>
      <c r="L225">
        <v>0</v>
      </c>
      <c r="M225">
        <v>0</v>
      </c>
      <c r="N225">
        <v>0</v>
      </c>
      <c r="O225">
        <v>207</v>
      </c>
      <c r="P225">
        <v>265</v>
      </c>
      <c r="Q225" s="5">
        <f>unitlist3[[#This Row],[health]]/unitlist3[[#This Row],[buildtime]]</f>
        <v>6.8831168831168826E-2</v>
      </c>
      <c r="R225" s="5">
        <f>unitlist3[[#This Row],[dps]]/unitlist3[[#This Row],[metalcost]]</f>
        <v>0</v>
      </c>
      <c r="U225">
        <v>1</v>
      </c>
      <c r="AA225">
        <v>0</v>
      </c>
      <c r="AB225">
        <v>0</v>
      </c>
      <c r="AF225">
        <v>260</v>
      </c>
      <c r="AG225">
        <v>390</v>
      </c>
      <c r="AH225" t="s">
        <v>172</v>
      </c>
      <c r="AI225" t="s">
        <v>41</v>
      </c>
      <c r="AJ225" t="s">
        <v>41</v>
      </c>
      <c r="AK225">
        <v>1</v>
      </c>
      <c r="AL225" t="s">
        <v>1303</v>
      </c>
      <c r="AM225" t="s">
        <v>41</v>
      </c>
    </row>
    <row r="226" spans="1:39" hidden="1">
      <c r="A226" t="s">
        <v>173</v>
      </c>
      <c r="B226" t="s">
        <v>38</v>
      </c>
      <c r="C226">
        <v>2</v>
      </c>
      <c r="D226" t="s">
        <v>174</v>
      </c>
      <c r="E226" t="s">
        <v>175</v>
      </c>
      <c r="F226" t="s">
        <v>41</v>
      </c>
      <c r="G226" t="s">
        <v>176</v>
      </c>
      <c r="H226">
        <v>91</v>
      </c>
      <c r="I226">
        <v>2900</v>
      </c>
      <c r="J226">
        <v>14000</v>
      </c>
      <c r="K226">
        <v>18000</v>
      </c>
      <c r="L226">
        <v>0</v>
      </c>
      <c r="M226">
        <v>0</v>
      </c>
      <c r="N226">
        <v>300</v>
      </c>
      <c r="O226">
        <v>0</v>
      </c>
      <c r="P226">
        <v>4750</v>
      </c>
      <c r="Q226" s="5">
        <f>unitlist3[[#This Row],[health]]/unitlist3[[#This Row],[buildtime]]</f>
        <v>0.2638888888888889</v>
      </c>
      <c r="R226" s="5">
        <f>unitlist3[[#This Row],[dps]]/unitlist3[[#This Row],[metalcost]]</f>
        <v>0</v>
      </c>
      <c r="Z226">
        <v>1</v>
      </c>
      <c r="AA226">
        <v>0</v>
      </c>
      <c r="AB226">
        <v>0</v>
      </c>
      <c r="AF226">
        <v>283</v>
      </c>
      <c r="AG226">
        <v>425</v>
      </c>
      <c r="AH226" t="s">
        <v>41</v>
      </c>
      <c r="AI226" t="s">
        <v>41</v>
      </c>
      <c r="AJ226" t="s">
        <v>177</v>
      </c>
      <c r="AK226">
        <v>1</v>
      </c>
      <c r="AL226" t="s">
        <v>1304</v>
      </c>
      <c r="AM226" t="s">
        <v>41</v>
      </c>
    </row>
    <row r="227" spans="1:39" hidden="1">
      <c r="A227" t="s">
        <v>178</v>
      </c>
      <c r="B227" t="s">
        <v>38</v>
      </c>
      <c r="C227">
        <v>2</v>
      </c>
      <c r="D227" t="s">
        <v>179</v>
      </c>
      <c r="E227" t="s">
        <v>180</v>
      </c>
      <c r="F227" t="s">
        <v>41</v>
      </c>
      <c r="G227" t="s">
        <v>181</v>
      </c>
      <c r="H227">
        <v>10</v>
      </c>
      <c r="I227">
        <v>175</v>
      </c>
      <c r="J227">
        <v>8600</v>
      </c>
      <c r="K227">
        <v>12800</v>
      </c>
      <c r="L227">
        <v>0</v>
      </c>
      <c r="M227">
        <v>0</v>
      </c>
      <c r="N227">
        <v>0</v>
      </c>
      <c r="O227">
        <v>317</v>
      </c>
      <c r="P227">
        <v>890</v>
      </c>
      <c r="Q227" s="5">
        <f>unitlist3[[#This Row],[health]]/unitlist3[[#This Row],[buildtime]]</f>
        <v>6.9531250000000003E-2</v>
      </c>
      <c r="R227" s="5">
        <f>unitlist3[[#This Row],[dps]]/unitlist3[[#This Row],[metalcost]]</f>
        <v>0</v>
      </c>
      <c r="U227">
        <v>1</v>
      </c>
      <c r="AA227">
        <v>0</v>
      </c>
      <c r="AB227">
        <v>0</v>
      </c>
      <c r="AD227">
        <v>1200</v>
      </c>
      <c r="AE227">
        <v>2500</v>
      </c>
      <c r="AF227">
        <v>1275</v>
      </c>
      <c r="AG227">
        <v>1913</v>
      </c>
      <c r="AH227" t="s">
        <v>48</v>
      </c>
      <c r="AI227" t="s">
        <v>41</v>
      </c>
      <c r="AJ227" t="s">
        <v>41</v>
      </c>
      <c r="AK227">
        <v>1</v>
      </c>
      <c r="AL227" t="s">
        <v>1305</v>
      </c>
      <c r="AM227" t="s">
        <v>41</v>
      </c>
    </row>
    <row r="228" spans="1:39">
      <c r="A228" t="s">
        <v>195</v>
      </c>
      <c r="B228" t="s">
        <v>38</v>
      </c>
      <c r="C228">
        <v>1</v>
      </c>
      <c r="D228" t="s">
        <v>196</v>
      </c>
      <c r="E228" t="s">
        <v>197</v>
      </c>
      <c r="F228" t="s">
        <v>41</v>
      </c>
      <c r="G228" t="s">
        <v>198</v>
      </c>
      <c r="H228">
        <v>22</v>
      </c>
      <c r="I228">
        <v>150</v>
      </c>
      <c r="J228">
        <v>3100</v>
      </c>
      <c r="K228">
        <v>6700</v>
      </c>
      <c r="L228">
        <v>0</v>
      </c>
      <c r="M228">
        <v>8</v>
      </c>
      <c r="N228">
        <v>80</v>
      </c>
      <c r="O228">
        <v>42</v>
      </c>
      <c r="P228">
        <v>1030</v>
      </c>
      <c r="Q228" s="5">
        <f>unitlist3[[#This Row],[health]]/unitlist3[[#This Row],[buildtime]]</f>
        <v>0.15373134328358209</v>
      </c>
      <c r="R228" s="5">
        <f>unitlist3[[#This Row],[dps]]/unitlist3[[#This Row],[metalcost]]</f>
        <v>0</v>
      </c>
      <c r="S228">
        <v>1</v>
      </c>
      <c r="AA228">
        <v>0</v>
      </c>
      <c r="AB228">
        <v>0</v>
      </c>
      <c r="AF228">
        <v>266</v>
      </c>
      <c r="AG228">
        <v>399</v>
      </c>
      <c r="AH228" t="s">
        <v>41</v>
      </c>
      <c r="AI228" t="s">
        <v>41</v>
      </c>
      <c r="AJ228" t="s">
        <v>1309</v>
      </c>
      <c r="AK228">
        <v>1</v>
      </c>
      <c r="AL228" t="s">
        <v>1310</v>
      </c>
      <c r="AM228" t="s">
        <v>41</v>
      </c>
    </row>
    <row r="229" spans="1:39" hidden="1">
      <c r="A229" t="s">
        <v>214</v>
      </c>
      <c r="B229" t="s">
        <v>38</v>
      </c>
      <c r="C229">
        <v>1</v>
      </c>
      <c r="D229" t="s">
        <v>215</v>
      </c>
      <c r="E229" t="s">
        <v>216</v>
      </c>
      <c r="F229" t="s">
        <v>41</v>
      </c>
      <c r="G229" t="s">
        <v>217</v>
      </c>
      <c r="H229">
        <v>8</v>
      </c>
      <c r="I229">
        <v>110</v>
      </c>
      <c r="J229">
        <v>3000</v>
      </c>
      <c r="K229">
        <v>7960</v>
      </c>
      <c r="L229">
        <v>0</v>
      </c>
      <c r="M229">
        <v>5</v>
      </c>
      <c r="N229">
        <v>60</v>
      </c>
      <c r="O229">
        <v>208</v>
      </c>
      <c r="P229">
        <v>156</v>
      </c>
      <c r="Q229" s="5">
        <f>unitlist3[[#This Row],[health]]/unitlist3[[#This Row],[buildtime]]</f>
        <v>1.9597989949748745E-2</v>
      </c>
      <c r="R229" s="5">
        <f>unitlist3[[#This Row],[dps]]/unitlist3[[#This Row],[metalcost]]</f>
        <v>0</v>
      </c>
      <c r="U229">
        <v>1</v>
      </c>
      <c r="AA229">
        <v>0</v>
      </c>
      <c r="AB229">
        <v>0</v>
      </c>
      <c r="AF229">
        <v>390</v>
      </c>
      <c r="AG229">
        <v>585</v>
      </c>
      <c r="AH229" t="s">
        <v>41</v>
      </c>
      <c r="AI229" t="s">
        <v>41</v>
      </c>
      <c r="AJ229" t="s">
        <v>218</v>
      </c>
      <c r="AK229">
        <v>1</v>
      </c>
      <c r="AL229" t="s">
        <v>1315</v>
      </c>
      <c r="AM229" t="s">
        <v>41</v>
      </c>
    </row>
    <row r="230" spans="1:39">
      <c r="A230" t="s">
        <v>219</v>
      </c>
      <c r="B230" t="s">
        <v>38</v>
      </c>
      <c r="C230">
        <v>1</v>
      </c>
      <c r="D230" t="s">
        <v>220</v>
      </c>
      <c r="E230" t="s">
        <v>216</v>
      </c>
      <c r="F230" t="s">
        <v>41</v>
      </c>
      <c r="G230" t="s">
        <v>221</v>
      </c>
      <c r="H230">
        <v>12</v>
      </c>
      <c r="I230">
        <v>200</v>
      </c>
      <c r="J230">
        <v>2700</v>
      </c>
      <c r="K230">
        <v>4470</v>
      </c>
      <c r="L230">
        <v>0</v>
      </c>
      <c r="M230">
        <v>11</v>
      </c>
      <c r="N230">
        <v>110</v>
      </c>
      <c r="O230">
        <v>67</v>
      </c>
      <c r="P230">
        <v>1440</v>
      </c>
      <c r="Q230" s="5">
        <f>unitlist3[[#This Row],[health]]/unitlist3[[#This Row],[buildtime]]</f>
        <v>0.32214765100671139</v>
      </c>
      <c r="R230" s="5">
        <f>unitlist3[[#This Row],[dps]]/unitlist3[[#This Row],[metalcost]]</f>
        <v>0</v>
      </c>
      <c r="V230">
        <v>1</v>
      </c>
      <c r="AA230">
        <v>0</v>
      </c>
      <c r="AB230">
        <v>0</v>
      </c>
      <c r="AE230">
        <v>50</v>
      </c>
      <c r="AF230">
        <v>351</v>
      </c>
      <c r="AG230">
        <v>527</v>
      </c>
      <c r="AH230" t="s">
        <v>41</v>
      </c>
      <c r="AI230" t="s">
        <v>41</v>
      </c>
      <c r="AJ230" t="s">
        <v>222</v>
      </c>
      <c r="AK230">
        <v>1</v>
      </c>
      <c r="AL230" t="s">
        <v>1316</v>
      </c>
      <c r="AM230" t="s">
        <v>41</v>
      </c>
    </row>
    <row r="231" spans="1:39">
      <c r="A231" t="s">
        <v>227</v>
      </c>
      <c r="B231" t="s">
        <v>38</v>
      </c>
      <c r="C231">
        <v>1</v>
      </c>
      <c r="D231" t="s">
        <v>228</v>
      </c>
      <c r="E231" t="s">
        <v>216</v>
      </c>
      <c r="F231" t="s">
        <v>41</v>
      </c>
      <c r="G231" t="s">
        <v>229</v>
      </c>
      <c r="H231">
        <v>26</v>
      </c>
      <c r="I231">
        <v>110</v>
      </c>
      <c r="J231">
        <v>1600</v>
      </c>
      <c r="K231">
        <v>3450</v>
      </c>
      <c r="L231">
        <v>0</v>
      </c>
      <c r="M231">
        <v>7</v>
      </c>
      <c r="N231">
        <v>80</v>
      </c>
      <c r="O231">
        <v>36</v>
      </c>
      <c r="P231">
        <v>600</v>
      </c>
      <c r="Q231" s="5">
        <f>unitlist3[[#This Row],[health]]/unitlist3[[#This Row],[buildtime]]</f>
        <v>0.17391304347826086</v>
      </c>
      <c r="R231" s="5">
        <f>unitlist3[[#This Row],[dps]]/unitlist3[[#This Row],[metalcost]]</f>
        <v>0</v>
      </c>
      <c r="AA231">
        <v>0</v>
      </c>
      <c r="AB231">
        <v>0</v>
      </c>
      <c r="AF231">
        <v>305</v>
      </c>
      <c r="AG231">
        <v>458</v>
      </c>
      <c r="AH231" t="s">
        <v>41</v>
      </c>
      <c r="AI231" t="s">
        <v>41</v>
      </c>
      <c r="AJ231" t="s">
        <v>230</v>
      </c>
      <c r="AK231">
        <v>1</v>
      </c>
      <c r="AL231" t="s">
        <v>1318</v>
      </c>
      <c r="AM231" t="s">
        <v>41</v>
      </c>
    </row>
    <row r="232" spans="1:39" hidden="1">
      <c r="A232" t="s">
        <v>231</v>
      </c>
      <c r="B232" t="s">
        <v>38</v>
      </c>
      <c r="C232">
        <v>2</v>
      </c>
      <c r="D232" t="s">
        <v>232</v>
      </c>
      <c r="E232" t="s">
        <v>233</v>
      </c>
      <c r="F232" t="s">
        <v>41</v>
      </c>
      <c r="G232" t="s">
        <v>234</v>
      </c>
      <c r="H232">
        <v>61</v>
      </c>
      <c r="I232">
        <v>4700</v>
      </c>
      <c r="J232">
        <v>26000</v>
      </c>
      <c r="K232">
        <v>84400</v>
      </c>
      <c r="L232">
        <v>0</v>
      </c>
      <c r="M232">
        <v>1050</v>
      </c>
      <c r="N232">
        <v>0</v>
      </c>
      <c r="O232">
        <v>0</v>
      </c>
      <c r="P232">
        <v>4450</v>
      </c>
      <c r="Q232" s="5">
        <f>unitlist3[[#This Row],[health]]/unitlist3[[#This Row],[buildtime]]</f>
        <v>5.2725118483412325E-2</v>
      </c>
      <c r="R232" s="5">
        <f>unitlist3[[#This Row],[dps]]/unitlist3[[#This Row],[metalcost]]</f>
        <v>0</v>
      </c>
      <c r="Z232">
        <v>1</v>
      </c>
      <c r="AA232">
        <v>0</v>
      </c>
      <c r="AB232">
        <v>0</v>
      </c>
      <c r="AF232">
        <v>273</v>
      </c>
      <c r="AG232">
        <v>410</v>
      </c>
      <c r="AH232" t="s">
        <v>98</v>
      </c>
      <c r="AI232" t="s">
        <v>41</v>
      </c>
      <c r="AJ232" t="s">
        <v>41</v>
      </c>
      <c r="AK232">
        <v>1</v>
      </c>
      <c r="AL232" t="s">
        <v>1319</v>
      </c>
      <c r="AM232" t="s">
        <v>41</v>
      </c>
    </row>
    <row r="233" spans="1:39">
      <c r="A233" t="s">
        <v>248</v>
      </c>
      <c r="B233" t="s">
        <v>38</v>
      </c>
      <c r="C233">
        <v>2</v>
      </c>
      <c r="D233" t="s">
        <v>249</v>
      </c>
      <c r="E233" t="s">
        <v>250</v>
      </c>
      <c r="F233" t="s">
        <v>41</v>
      </c>
      <c r="G233" t="s">
        <v>251</v>
      </c>
      <c r="H233">
        <v>33</v>
      </c>
      <c r="I233">
        <v>250</v>
      </c>
      <c r="J233">
        <v>4300</v>
      </c>
      <c r="K233">
        <v>6800</v>
      </c>
      <c r="L233">
        <v>0</v>
      </c>
      <c r="M233">
        <v>15</v>
      </c>
      <c r="N233">
        <v>150</v>
      </c>
      <c r="O233">
        <v>78</v>
      </c>
      <c r="P233">
        <v>1080</v>
      </c>
      <c r="Q233" s="5">
        <f>unitlist3[[#This Row],[health]]/unitlist3[[#This Row],[buildtime]]</f>
        <v>0.1588235294117647</v>
      </c>
      <c r="R233" s="5">
        <f>unitlist3[[#This Row],[dps]]/unitlist3[[#This Row],[metalcost]]</f>
        <v>0</v>
      </c>
      <c r="AA233">
        <v>0</v>
      </c>
      <c r="AB233">
        <v>0</v>
      </c>
      <c r="AF233">
        <v>500</v>
      </c>
      <c r="AG233">
        <v>750</v>
      </c>
      <c r="AH233" t="s">
        <v>41</v>
      </c>
      <c r="AI233" t="s">
        <v>41</v>
      </c>
      <c r="AJ233" t="s">
        <v>252</v>
      </c>
      <c r="AK233">
        <v>1</v>
      </c>
      <c r="AL233" t="s">
        <v>1321</v>
      </c>
      <c r="AM233" t="s">
        <v>41</v>
      </c>
    </row>
    <row r="234" spans="1:39" hidden="1">
      <c r="A234" t="s">
        <v>261</v>
      </c>
      <c r="B234" t="s">
        <v>38</v>
      </c>
      <c r="C234">
        <v>1</v>
      </c>
      <c r="D234" t="s">
        <v>262</v>
      </c>
      <c r="E234" t="s">
        <v>216</v>
      </c>
      <c r="F234" t="s">
        <v>41</v>
      </c>
      <c r="G234" t="s">
        <v>263</v>
      </c>
      <c r="H234">
        <v>33</v>
      </c>
      <c r="I234">
        <v>200</v>
      </c>
      <c r="J234">
        <v>2000</v>
      </c>
      <c r="K234">
        <v>3460</v>
      </c>
      <c r="L234">
        <v>0</v>
      </c>
      <c r="M234">
        <v>7</v>
      </c>
      <c r="N234">
        <v>125</v>
      </c>
      <c r="O234">
        <v>65</v>
      </c>
      <c r="P234">
        <v>1040</v>
      </c>
      <c r="Q234" s="5">
        <f>unitlist3[[#This Row],[health]]/unitlist3[[#This Row],[buildtime]]</f>
        <v>0.30057803468208094</v>
      </c>
      <c r="R234" s="5">
        <f>unitlist3[[#This Row],[dps]]/unitlist3[[#This Row],[metalcost]]</f>
        <v>0</v>
      </c>
      <c r="W234">
        <v>1</v>
      </c>
      <c r="AA234">
        <v>0</v>
      </c>
      <c r="AB234">
        <v>0</v>
      </c>
      <c r="AF234">
        <v>400</v>
      </c>
      <c r="AG234">
        <v>600</v>
      </c>
      <c r="AH234" t="s">
        <v>41</v>
      </c>
      <c r="AI234" t="s">
        <v>41</v>
      </c>
      <c r="AJ234" t="s">
        <v>264</v>
      </c>
      <c r="AK234">
        <v>1</v>
      </c>
      <c r="AL234" t="s">
        <v>1324</v>
      </c>
      <c r="AM234" t="s">
        <v>41</v>
      </c>
    </row>
    <row r="235" spans="1:39" hidden="1">
      <c r="A235" t="s">
        <v>265</v>
      </c>
      <c r="B235" t="s">
        <v>38</v>
      </c>
      <c r="C235">
        <v>1</v>
      </c>
      <c r="D235" t="s">
        <v>266</v>
      </c>
      <c r="E235" t="s">
        <v>216</v>
      </c>
      <c r="F235" t="s">
        <v>41</v>
      </c>
      <c r="G235" t="s">
        <v>267</v>
      </c>
      <c r="H235">
        <v>17</v>
      </c>
      <c r="I235">
        <v>150</v>
      </c>
      <c r="J235">
        <v>7800</v>
      </c>
      <c r="K235">
        <v>12000</v>
      </c>
      <c r="L235">
        <v>0</v>
      </c>
      <c r="M235">
        <v>20</v>
      </c>
      <c r="N235">
        <v>75</v>
      </c>
      <c r="O235">
        <v>192</v>
      </c>
      <c r="P235">
        <v>405</v>
      </c>
      <c r="Q235" s="5">
        <f>unitlist3[[#This Row],[health]]/unitlist3[[#This Row],[buildtime]]</f>
        <v>3.3750000000000002E-2</v>
      </c>
      <c r="R235" s="5">
        <f>unitlist3[[#This Row],[dps]]/unitlist3[[#This Row],[metalcost]]</f>
        <v>0</v>
      </c>
      <c r="S235">
        <v>1</v>
      </c>
      <c r="U235">
        <v>1</v>
      </c>
      <c r="AA235">
        <v>0</v>
      </c>
      <c r="AB235">
        <v>0</v>
      </c>
      <c r="AF235">
        <v>364</v>
      </c>
      <c r="AG235">
        <v>546</v>
      </c>
      <c r="AH235" t="s">
        <v>41</v>
      </c>
      <c r="AI235" t="s">
        <v>41</v>
      </c>
      <c r="AJ235" t="s">
        <v>268</v>
      </c>
      <c r="AK235">
        <v>1</v>
      </c>
      <c r="AL235" t="s">
        <v>1325</v>
      </c>
      <c r="AM235" t="s">
        <v>41</v>
      </c>
    </row>
    <row r="236" spans="1:39">
      <c r="A236" t="s">
        <v>269</v>
      </c>
      <c r="B236" t="s">
        <v>38</v>
      </c>
      <c r="C236">
        <v>1</v>
      </c>
      <c r="D236" t="s">
        <v>270</v>
      </c>
      <c r="E236" t="s">
        <v>216</v>
      </c>
      <c r="F236" t="s">
        <v>41</v>
      </c>
      <c r="G236" t="s">
        <v>271</v>
      </c>
      <c r="H236">
        <v>28</v>
      </c>
      <c r="I236">
        <v>135</v>
      </c>
      <c r="J236">
        <v>1950</v>
      </c>
      <c r="K236">
        <v>4050</v>
      </c>
      <c r="L236">
        <v>0</v>
      </c>
      <c r="M236">
        <v>10</v>
      </c>
      <c r="N236">
        <v>90</v>
      </c>
      <c r="O236">
        <v>54</v>
      </c>
      <c r="P236">
        <v>1380</v>
      </c>
      <c r="Q236" s="5">
        <f>unitlist3[[#This Row],[health]]/unitlist3[[#This Row],[buildtime]]</f>
        <v>0.34074074074074073</v>
      </c>
      <c r="R236" s="5">
        <f>unitlist3[[#This Row],[dps]]/unitlist3[[#This Row],[metalcost]]</f>
        <v>0</v>
      </c>
      <c r="AA236">
        <v>0</v>
      </c>
      <c r="AB236">
        <v>0</v>
      </c>
      <c r="AE236">
        <v>50</v>
      </c>
      <c r="AF236">
        <v>253</v>
      </c>
      <c r="AG236">
        <v>380</v>
      </c>
      <c r="AH236" t="s">
        <v>41</v>
      </c>
      <c r="AI236" t="s">
        <v>41</v>
      </c>
      <c r="AJ236" t="s">
        <v>272</v>
      </c>
      <c r="AK236">
        <v>1</v>
      </c>
      <c r="AL236" t="s">
        <v>1326</v>
      </c>
      <c r="AM236" t="s">
        <v>41</v>
      </c>
    </row>
    <row r="237" spans="1:39" hidden="1">
      <c r="A237" t="s">
        <v>280</v>
      </c>
      <c r="B237" t="s">
        <v>38</v>
      </c>
      <c r="C237">
        <v>2</v>
      </c>
      <c r="D237" t="s">
        <v>281</v>
      </c>
      <c r="E237" t="s">
        <v>282</v>
      </c>
      <c r="F237" t="s">
        <v>41</v>
      </c>
      <c r="G237" t="s">
        <v>234</v>
      </c>
      <c r="H237">
        <v>64</v>
      </c>
      <c r="I237">
        <v>370</v>
      </c>
      <c r="J237">
        <v>100</v>
      </c>
      <c r="K237">
        <v>7500</v>
      </c>
      <c r="L237">
        <v>0</v>
      </c>
      <c r="M237">
        <v>0</v>
      </c>
      <c r="N237">
        <v>0</v>
      </c>
      <c r="O237">
        <v>0</v>
      </c>
      <c r="P237">
        <v>5200</v>
      </c>
      <c r="Q237" s="5">
        <f>unitlist3[[#This Row],[health]]/unitlist3[[#This Row],[buildtime]]</f>
        <v>0.69333333333333336</v>
      </c>
      <c r="R237" s="5">
        <f>unitlist3[[#This Row],[dps]]/unitlist3[[#This Row],[metalcost]]</f>
        <v>0</v>
      </c>
      <c r="Z237">
        <v>1</v>
      </c>
      <c r="AA237">
        <v>0</v>
      </c>
      <c r="AB237">
        <v>0</v>
      </c>
      <c r="AF237">
        <v>210</v>
      </c>
      <c r="AG237">
        <v>315</v>
      </c>
      <c r="AH237" t="s">
        <v>41</v>
      </c>
      <c r="AI237" t="s">
        <v>41</v>
      </c>
      <c r="AJ237" t="s">
        <v>41</v>
      </c>
      <c r="AK237">
        <v>1</v>
      </c>
      <c r="AL237" t="s">
        <v>1329</v>
      </c>
      <c r="AM237" t="s">
        <v>41</v>
      </c>
    </row>
    <row r="238" spans="1:39" hidden="1">
      <c r="A238" t="s">
        <v>283</v>
      </c>
      <c r="B238" t="s">
        <v>38</v>
      </c>
      <c r="C238">
        <v>2</v>
      </c>
      <c r="D238" t="s">
        <v>284</v>
      </c>
      <c r="E238" t="s">
        <v>285</v>
      </c>
      <c r="F238" t="s">
        <v>41</v>
      </c>
      <c r="G238" t="s">
        <v>171</v>
      </c>
      <c r="H238">
        <v>26</v>
      </c>
      <c r="I238">
        <v>320</v>
      </c>
      <c r="J238">
        <v>6600</v>
      </c>
      <c r="K238">
        <v>16000</v>
      </c>
      <c r="L238">
        <v>0</v>
      </c>
      <c r="M238">
        <v>0</v>
      </c>
      <c r="N238">
        <v>0</v>
      </c>
      <c r="O238">
        <v>242</v>
      </c>
      <c r="P238">
        <v>1170</v>
      </c>
      <c r="Q238" s="5">
        <f>unitlist3[[#This Row],[health]]/unitlist3[[#This Row],[buildtime]]</f>
        <v>7.3124999999999996E-2</v>
      </c>
      <c r="R238" s="5">
        <f>unitlist3[[#This Row],[dps]]/unitlist3[[#This Row],[metalcost]]</f>
        <v>0</v>
      </c>
      <c r="U238">
        <v>1</v>
      </c>
      <c r="AA238">
        <v>0</v>
      </c>
      <c r="AB238">
        <v>520</v>
      </c>
      <c r="AF238">
        <v>318</v>
      </c>
      <c r="AG238">
        <v>477</v>
      </c>
      <c r="AH238" t="s">
        <v>286</v>
      </c>
      <c r="AI238" t="s">
        <v>287</v>
      </c>
      <c r="AJ238" t="s">
        <v>41</v>
      </c>
      <c r="AK238">
        <v>1</v>
      </c>
      <c r="AL238" t="s">
        <v>1330</v>
      </c>
      <c r="AM238" t="s">
        <v>41</v>
      </c>
    </row>
    <row r="239" spans="1:39" hidden="1">
      <c r="A239" t="s">
        <v>292</v>
      </c>
      <c r="B239" t="s">
        <v>38</v>
      </c>
      <c r="C239">
        <v>1</v>
      </c>
      <c r="D239" t="s">
        <v>293</v>
      </c>
      <c r="E239" t="s">
        <v>294</v>
      </c>
      <c r="F239" t="s">
        <v>41</v>
      </c>
      <c r="G239" t="s">
        <v>238</v>
      </c>
      <c r="H239">
        <v>18</v>
      </c>
      <c r="I239">
        <v>8</v>
      </c>
      <c r="J239">
        <v>0</v>
      </c>
      <c r="K239">
        <v>255</v>
      </c>
      <c r="L239">
        <v>0</v>
      </c>
      <c r="M239">
        <v>0</v>
      </c>
      <c r="N239">
        <v>0</v>
      </c>
      <c r="O239">
        <v>0</v>
      </c>
      <c r="P239">
        <v>2800</v>
      </c>
      <c r="Q239" s="5">
        <f>unitlist3[[#This Row],[health]]/unitlist3[[#This Row],[buildtime]]</f>
        <v>10.980392156862745</v>
      </c>
      <c r="R239" s="5">
        <f>unitlist3[[#This Row],[dps]]/unitlist3[[#This Row],[metalcost]]</f>
        <v>0</v>
      </c>
      <c r="Z239">
        <v>1</v>
      </c>
      <c r="AA239">
        <v>0</v>
      </c>
      <c r="AB239">
        <v>0</v>
      </c>
      <c r="AF239">
        <v>1</v>
      </c>
      <c r="AG239">
        <v>2</v>
      </c>
      <c r="AH239" t="s">
        <v>41</v>
      </c>
      <c r="AI239" t="s">
        <v>41</v>
      </c>
      <c r="AJ239" t="s">
        <v>41</v>
      </c>
      <c r="AK239">
        <v>1</v>
      </c>
      <c r="AL239" t="s">
        <v>1332</v>
      </c>
      <c r="AM239" t="s">
        <v>41</v>
      </c>
    </row>
    <row r="240" spans="1:39" hidden="1">
      <c r="A240" t="s">
        <v>295</v>
      </c>
      <c r="B240" t="s">
        <v>38</v>
      </c>
      <c r="C240">
        <v>2</v>
      </c>
      <c r="D240" t="s">
        <v>296</v>
      </c>
      <c r="E240" t="s">
        <v>297</v>
      </c>
      <c r="F240" t="s">
        <v>41</v>
      </c>
      <c r="G240" t="s">
        <v>298</v>
      </c>
      <c r="H240">
        <v>27</v>
      </c>
      <c r="I240">
        <v>1600</v>
      </c>
      <c r="J240">
        <v>29000</v>
      </c>
      <c r="K240">
        <v>79300</v>
      </c>
      <c r="L240">
        <v>0</v>
      </c>
      <c r="M240">
        <v>0</v>
      </c>
      <c r="N240">
        <v>0</v>
      </c>
      <c r="O240">
        <v>0</v>
      </c>
      <c r="P240">
        <v>3350</v>
      </c>
      <c r="Q240" s="5">
        <f>unitlist3[[#This Row],[health]]/unitlist3[[#This Row],[buildtime]]</f>
        <v>4.2244640605296341E-2</v>
      </c>
      <c r="R240" s="5">
        <f>unitlist3[[#This Row],[dps]]/unitlist3[[#This Row],[metalcost]]</f>
        <v>0</v>
      </c>
      <c r="Z240">
        <v>1</v>
      </c>
      <c r="AA240">
        <v>0</v>
      </c>
      <c r="AB240">
        <v>3650</v>
      </c>
      <c r="AF240">
        <v>455</v>
      </c>
      <c r="AG240">
        <v>683</v>
      </c>
      <c r="AH240" t="s">
        <v>41</v>
      </c>
      <c r="AI240" t="s">
        <v>299</v>
      </c>
      <c r="AJ240" t="s">
        <v>41</v>
      </c>
      <c r="AK240">
        <v>1</v>
      </c>
      <c r="AL240" t="s">
        <v>1333</v>
      </c>
      <c r="AM240" t="s">
        <v>41</v>
      </c>
    </row>
    <row r="241" spans="1:39" hidden="1">
      <c r="A241" t="s">
        <v>305</v>
      </c>
      <c r="B241" t="s">
        <v>38</v>
      </c>
      <c r="C241">
        <v>1</v>
      </c>
      <c r="D241" t="s">
        <v>306</v>
      </c>
      <c r="E241" t="s">
        <v>307</v>
      </c>
      <c r="F241" t="s">
        <v>41</v>
      </c>
      <c r="G241" t="s">
        <v>308</v>
      </c>
      <c r="H241">
        <v>44</v>
      </c>
      <c r="I241">
        <v>170</v>
      </c>
      <c r="J241">
        <v>1700</v>
      </c>
      <c r="K241">
        <v>4110</v>
      </c>
      <c r="L241">
        <v>0</v>
      </c>
      <c r="M241">
        <v>0</v>
      </c>
      <c r="N241">
        <v>0</v>
      </c>
      <c r="O241">
        <v>0</v>
      </c>
      <c r="P241">
        <v>1890</v>
      </c>
      <c r="Q241" s="5">
        <f>unitlist3[[#This Row],[health]]/unitlist3[[#This Row],[buildtime]]</f>
        <v>0.45985401459854014</v>
      </c>
      <c r="R241" s="5">
        <f>unitlist3[[#This Row],[dps]]/unitlist3[[#This Row],[metalcost]]</f>
        <v>0</v>
      </c>
      <c r="Z241">
        <v>1</v>
      </c>
      <c r="AA241">
        <v>0</v>
      </c>
      <c r="AB241">
        <v>0</v>
      </c>
      <c r="AF241">
        <v>273</v>
      </c>
      <c r="AG241">
        <v>410</v>
      </c>
      <c r="AH241" t="s">
        <v>41</v>
      </c>
      <c r="AI241" t="s">
        <v>41</v>
      </c>
      <c r="AJ241" t="s">
        <v>41</v>
      </c>
      <c r="AK241">
        <v>1</v>
      </c>
      <c r="AL241" t="s">
        <v>1335</v>
      </c>
      <c r="AM241" t="s">
        <v>41</v>
      </c>
    </row>
    <row r="242" spans="1:39" hidden="1">
      <c r="A242" t="s">
        <v>309</v>
      </c>
      <c r="B242" t="s">
        <v>38</v>
      </c>
      <c r="C242">
        <v>1</v>
      </c>
      <c r="D242" t="s">
        <v>310</v>
      </c>
      <c r="E242" t="s">
        <v>311</v>
      </c>
      <c r="F242" t="s">
        <v>41</v>
      </c>
      <c r="G242" t="s">
        <v>312</v>
      </c>
      <c r="H242">
        <v>35</v>
      </c>
      <c r="I242">
        <v>32</v>
      </c>
      <c r="J242">
        <v>850</v>
      </c>
      <c r="K242">
        <v>750</v>
      </c>
      <c r="L242">
        <v>0</v>
      </c>
      <c r="M242">
        <v>0</v>
      </c>
      <c r="N242">
        <v>0</v>
      </c>
      <c r="O242">
        <v>0</v>
      </c>
      <c r="P242">
        <v>280</v>
      </c>
      <c r="Q242" s="5">
        <f>unitlist3[[#This Row],[health]]/unitlist3[[#This Row],[buildtime]]</f>
        <v>0.37333333333333335</v>
      </c>
      <c r="R242" s="5">
        <f>unitlist3[[#This Row],[dps]]/unitlist3[[#This Row],[metalcost]]</f>
        <v>0</v>
      </c>
      <c r="Z242">
        <v>1</v>
      </c>
      <c r="AA242">
        <v>0</v>
      </c>
      <c r="AB242">
        <v>0</v>
      </c>
      <c r="AF242">
        <v>560</v>
      </c>
      <c r="AG242">
        <v>840</v>
      </c>
      <c r="AH242" t="s">
        <v>109</v>
      </c>
      <c r="AI242" t="s">
        <v>41</v>
      </c>
      <c r="AJ242" t="s">
        <v>41</v>
      </c>
      <c r="AK242">
        <v>1</v>
      </c>
      <c r="AL242" t="s">
        <v>1336</v>
      </c>
      <c r="AM242" t="s">
        <v>41</v>
      </c>
    </row>
    <row r="243" spans="1:39">
      <c r="A243" t="s">
        <v>313</v>
      </c>
      <c r="B243" t="s">
        <v>38</v>
      </c>
      <c r="C243">
        <v>2</v>
      </c>
      <c r="D243" t="s">
        <v>314</v>
      </c>
      <c r="E243" t="s">
        <v>315</v>
      </c>
      <c r="F243" t="s">
        <v>41</v>
      </c>
      <c r="G243" t="s">
        <v>316</v>
      </c>
      <c r="H243">
        <v>24</v>
      </c>
      <c r="I243">
        <v>210</v>
      </c>
      <c r="J243">
        <v>3000</v>
      </c>
      <c r="K243">
        <v>4300</v>
      </c>
      <c r="L243">
        <v>0</v>
      </c>
      <c r="M243">
        <v>12</v>
      </c>
      <c r="N243">
        <v>140</v>
      </c>
      <c r="O243">
        <v>75</v>
      </c>
      <c r="P243">
        <v>335</v>
      </c>
      <c r="Q243" s="5">
        <f>unitlist3[[#This Row],[health]]/unitlist3[[#This Row],[buildtime]]</f>
        <v>7.7906976744186049E-2</v>
      </c>
      <c r="R243" s="5">
        <f>unitlist3[[#This Row],[dps]]/unitlist3[[#This Row],[metalcost]]</f>
        <v>0</v>
      </c>
      <c r="AA243">
        <v>0</v>
      </c>
      <c r="AB243">
        <v>0</v>
      </c>
      <c r="AE243">
        <v>50</v>
      </c>
      <c r="AF243">
        <v>377</v>
      </c>
      <c r="AG243">
        <v>566</v>
      </c>
      <c r="AH243" t="s">
        <v>41</v>
      </c>
      <c r="AI243" t="s">
        <v>41</v>
      </c>
      <c r="AJ243" t="s">
        <v>317</v>
      </c>
      <c r="AK243">
        <v>1</v>
      </c>
      <c r="AL243" t="s">
        <v>1337</v>
      </c>
      <c r="AM243" t="s">
        <v>41</v>
      </c>
    </row>
    <row r="244" spans="1:39" hidden="1">
      <c r="A244" t="s">
        <v>318</v>
      </c>
      <c r="B244" t="s">
        <v>38</v>
      </c>
      <c r="C244">
        <v>2</v>
      </c>
      <c r="D244" t="s">
        <v>153</v>
      </c>
      <c r="E244" t="s">
        <v>154</v>
      </c>
      <c r="F244" t="s">
        <v>41</v>
      </c>
      <c r="G244" t="s">
        <v>155</v>
      </c>
      <c r="H244">
        <v>59</v>
      </c>
      <c r="I244">
        <v>400</v>
      </c>
      <c r="J244">
        <v>4300</v>
      </c>
      <c r="K244">
        <v>9100</v>
      </c>
      <c r="L244">
        <v>0</v>
      </c>
      <c r="M244">
        <v>0</v>
      </c>
      <c r="N244">
        <v>1000</v>
      </c>
      <c r="O244">
        <v>0</v>
      </c>
      <c r="P244">
        <v>1670</v>
      </c>
      <c r="Q244" s="5">
        <f>unitlist3[[#This Row],[health]]/unitlist3[[#This Row],[buildtime]]</f>
        <v>0.1835164835164835</v>
      </c>
      <c r="R244" s="5">
        <f>unitlist3[[#This Row],[dps]]/unitlist3[[#This Row],[metalcost]]</f>
        <v>0</v>
      </c>
      <c r="Z244">
        <v>1</v>
      </c>
      <c r="AA244">
        <v>0</v>
      </c>
      <c r="AB244">
        <v>0</v>
      </c>
      <c r="AF244">
        <v>358</v>
      </c>
      <c r="AG244">
        <v>536</v>
      </c>
      <c r="AH244" t="s">
        <v>156</v>
      </c>
      <c r="AI244" t="s">
        <v>41</v>
      </c>
      <c r="AJ244" t="s">
        <v>41</v>
      </c>
      <c r="AK244">
        <v>1</v>
      </c>
      <c r="AL244" t="s">
        <v>1338</v>
      </c>
      <c r="AM244" t="s">
        <v>41</v>
      </c>
    </row>
    <row r="245" spans="1:39" hidden="1">
      <c r="A245" t="s">
        <v>323</v>
      </c>
      <c r="B245" t="s">
        <v>38</v>
      </c>
      <c r="C245">
        <v>2</v>
      </c>
      <c r="D245" t="s">
        <v>324</v>
      </c>
      <c r="E245" t="s">
        <v>325</v>
      </c>
      <c r="F245" t="s">
        <v>41</v>
      </c>
      <c r="G245" t="s">
        <v>326</v>
      </c>
      <c r="H245">
        <v>70</v>
      </c>
      <c r="I245">
        <v>800</v>
      </c>
      <c r="J245">
        <v>7300</v>
      </c>
      <c r="K245">
        <v>9880</v>
      </c>
      <c r="L245">
        <v>0</v>
      </c>
      <c r="M245">
        <v>0</v>
      </c>
      <c r="N245">
        <v>0</v>
      </c>
      <c r="O245">
        <v>0</v>
      </c>
      <c r="P245">
        <v>1610</v>
      </c>
      <c r="Q245" s="5">
        <f>unitlist3[[#This Row],[health]]/unitlist3[[#This Row],[buildtime]]</f>
        <v>0.16295546558704455</v>
      </c>
      <c r="R245" s="5">
        <f>unitlist3[[#This Row],[dps]]/unitlist3[[#This Row],[metalcost]]</f>
        <v>0</v>
      </c>
      <c r="Z245">
        <v>1</v>
      </c>
      <c r="AA245">
        <v>0</v>
      </c>
      <c r="AB245">
        <v>0</v>
      </c>
      <c r="AF245">
        <v>273</v>
      </c>
      <c r="AG245">
        <v>410</v>
      </c>
      <c r="AH245" t="s">
        <v>41</v>
      </c>
      <c r="AI245" t="s">
        <v>41</v>
      </c>
      <c r="AJ245" t="s">
        <v>41</v>
      </c>
      <c r="AK245">
        <v>1</v>
      </c>
      <c r="AL245" t="s">
        <v>1340</v>
      </c>
      <c r="AM245" t="s">
        <v>41</v>
      </c>
    </row>
    <row r="246" spans="1:39" hidden="1">
      <c r="A246" t="s">
        <v>335</v>
      </c>
      <c r="B246" t="s">
        <v>38</v>
      </c>
      <c r="C246">
        <v>1</v>
      </c>
      <c r="D246" t="s">
        <v>336</v>
      </c>
      <c r="E246" t="s">
        <v>337</v>
      </c>
      <c r="F246" t="s">
        <v>41</v>
      </c>
      <c r="G246" t="s">
        <v>238</v>
      </c>
      <c r="H246">
        <v>13</v>
      </c>
      <c r="I246">
        <v>15</v>
      </c>
      <c r="J246">
        <v>0</v>
      </c>
      <c r="K246">
        <v>370</v>
      </c>
      <c r="L246">
        <v>0</v>
      </c>
      <c r="M246">
        <v>0</v>
      </c>
      <c r="N246">
        <v>0</v>
      </c>
      <c r="O246">
        <v>0</v>
      </c>
      <c r="P246">
        <v>4450</v>
      </c>
      <c r="Q246" s="5">
        <f>unitlist3[[#This Row],[health]]/unitlist3[[#This Row],[buildtime]]</f>
        <v>12.027027027027026</v>
      </c>
      <c r="R246" s="5">
        <f>unitlist3[[#This Row],[dps]]/unitlist3[[#This Row],[metalcost]]</f>
        <v>0</v>
      </c>
      <c r="Z246">
        <v>1</v>
      </c>
      <c r="AA246">
        <v>0</v>
      </c>
      <c r="AB246">
        <v>0</v>
      </c>
      <c r="AF246">
        <v>1</v>
      </c>
      <c r="AG246">
        <v>2</v>
      </c>
      <c r="AH246" t="s">
        <v>41</v>
      </c>
      <c r="AI246" t="s">
        <v>41</v>
      </c>
      <c r="AJ246" t="s">
        <v>41</v>
      </c>
      <c r="AK246">
        <v>1</v>
      </c>
      <c r="AL246" t="s">
        <v>1343</v>
      </c>
      <c r="AM246" t="s">
        <v>41</v>
      </c>
    </row>
    <row r="247" spans="1:39" hidden="1">
      <c r="A247" t="s">
        <v>350</v>
      </c>
      <c r="B247" t="s">
        <v>38</v>
      </c>
      <c r="C247">
        <v>1</v>
      </c>
      <c r="D247" t="s">
        <v>351</v>
      </c>
      <c r="E247" t="s">
        <v>352</v>
      </c>
      <c r="F247" t="s">
        <v>41</v>
      </c>
      <c r="G247" t="s">
        <v>353</v>
      </c>
      <c r="H247">
        <v>28</v>
      </c>
      <c r="I247">
        <v>900</v>
      </c>
      <c r="J247">
        <v>3000</v>
      </c>
      <c r="K247">
        <v>11000</v>
      </c>
      <c r="L247">
        <v>0</v>
      </c>
      <c r="M247">
        <v>0</v>
      </c>
      <c r="N247">
        <v>100</v>
      </c>
      <c r="O247">
        <v>0</v>
      </c>
      <c r="P247">
        <v>3350</v>
      </c>
      <c r="Q247" s="5">
        <f>unitlist3[[#This Row],[health]]/unitlist3[[#This Row],[buildtime]]</f>
        <v>0.30454545454545456</v>
      </c>
      <c r="R247" s="5">
        <f>unitlist3[[#This Row],[dps]]/unitlist3[[#This Row],[metalcost]]</f>
        <v>0</v>
      </c>
      <c r="Z247">
        <v>1</v>
      </c>
      <c r="AA247">
        <v>0</v>
      </c>
      <c r="AB247">
        <v>0</v>
      </c>
      <c r="AF247">
        <v>286</v>
      </c>
      <c r="AG247">
        <v>429</v>
      </c>
      <c r="AH247" t="s">
        <v>41</v>
      </c>
      <c r="AI247" t="s">
        <v>41</v>
      </c>
      <c r="AJ247" t="s">
        <v>354</v>
      </c>
      <c r="AK247">
        <v>1</v>
      </c>
      <c r="AL247" t="s">
        <v>1347</v>
      </c>
      <c r="AM247" t="s">
        <v>41</v>
      </c>
    </row>
    <row r="248" spans="1:39" hidden="1">
      <c r="A248" t="s">
        <v>378</v>
      </c>
      <c r="B248" t="s">
        <v>38</v>
      </c>
      <c r="C248">
        <v>1</v>
      </c>
      <c r="D248" t="s">
        <v>379</v>
      </c>
      <c r="E248" t="s">
        <v>493</v>
      </c>
      <c r="F248" t="s">
        <v>41</v>
      </c>
      <c r="G248" t="s">
        <v>380</v>
      </c>
      <c r="H248">
        <v>23</v>
      </c>
      <c r="I248">
        <v>1</v>
      </c>
      <c r="J248">
        <v>1150</v>
      </c>
      <c r="K248">
        <v>2600</v>
      </c>
      <c r="L248">
        <v>0</v>
      </c>
      <c r="M248">
        <v>0</v>
      </c>
      <c r="N248">
        <v>0</v>
      </c>
      <c r="O248">
        <v>0</v>
      </c>
      <c r="P248">
        <v>167</v>
      </c>
      <c r="Q248" s="5">
        <f>unitlist3[[#This Row],[health]]/unitlist3[[#This Row],[buildtime]]</f>
        <v>6.423076923076923E-2</v>
      </c>
      <c r="R248" s="5">
        <f>unitlist3[[#This Row],[dps]]/unitlist3[[#This Row],[metalcost]]</f>
        <v>0</v>
      </c>
      <c r="Z248">
        <v>1</v>
      </c>
      <c r="AA248">
        <v>0</v>
      </c>
      <c r="AB248">
        <v>0</v>
      </c>
      <c r="AF248">
        <v>273</v>
      </c>
      <c r="AG248">
        <v>410</v>
      </c>
      <c r="AH248" t="s">
        <v>41</v>
      </c>
      <c r="AI248" t="s">
        <v>41</v>
      </c>
      <c r="AJ248" t="s">
        <v>41</v>
      </c>
      <c r="AK248">
        <v>1</v>
      </c>
      <c r="AL248" t="s">
        <v>1354</v>
      </c>
      <c r="AM248" t="s">
        <v>41</v>
      </c>
    </row>
    <row r="249" spans="1:39" hidden="1">
      <c r="A249" t="s">
        <v>381</v>
      </c>
      <c r="B249" t="s">
        <v>38</v>
      </c>
      <c r="C249">
        <v>2</v>
      </c>
      <c r="D249" t="s">
        <v>382</v>
      </c>
      <c r="E249" t="s">
        <v>383</v>
      </c>
      <c r="F249" t="s">
        <v>41</v>
      </c>
      <c r="G249" t="s">
        <v>238</v>
      </c>
      <c r="H249">
        <v>47</v>
      </c>
      <c r="I249">
        <v>40</v>
      </c>
      <c r="J249">
        <v>500</v>
      </c>
      <c r="K249">
        <v>900</v>
      </c>
      <c r="L249">
        <v>0</v>
      </c>
      <c r="M249">
        <v>0</v>
      </c>
      <c r="N249">
        <v>0</v>
      </c>
      <c r="O249">
        <v>0</v>
      </c>
      <c r="P249">
        <v>8900</v>
      </c>
      <c r="Q249" s="5">
        <f>unitlist3[[#This Row],[health]]/unitlist3[[#This Row],[buildtime]]</f>
        <v>9.8888888888888893</v>
      </c>
      <c r="R249" s="5">
        <f>unitlist3[[#This Row],[dps]]/unitlist3[[#This Row],[metalcost]]</f>
        <v>0</v>
      </c>
      <c r="Z249">
        <v>1</v>
      </c>
      <c r="AA249">
        <v>0</v>
      </c>
      <c r="AB249">
        <v>0</v>
      </c>
      <c r="AF249">
        <v>1</v>
      </c>
      <c r="AG249">
        <v>2</v>
      </c>
      <c r="AH249" t="s">
        <v>41</v>
      </c>
      <c r="AI249" t="s">
        <v>41</v>
      </c>
      <c r="AJ249" t="s">
        <v>41</v>
      </c>
      <c r="AK249">
        <v>1</v>
      </c>
      <c r="AL249" t="s">
        <v>1355</v>
      </c>
      <c r="AM249" t="s">
        <v>41</v>
      </c>
    </row>
    <row r="250" spans="1:39" hidden="1">
      <c r="A250" t="s">
        <v>384</v>
      </c>
      <c r="B250" t="s">
        <v>38</v>
      </c>
      <c r="C250">
        <v>1</v>
      </c>
      <c r="D250" t="s">
        <v>385</v>
      </c>
      <c r="E250" t="s">
        <v>386</v>
      </c>
      <c r="F250" t="s">
        <v>41</v>
      </c>
      <c r="G250" t="s">
        <v>387</v>
      </c>
      <c r="H250">
        <v>59</v>
      </c>
      <c r="I250">
        <v>130</v>
      </c>
      <c r="J250">
        <v>1000</v>
      </c>
      <c r="K250">
        <v>1800</v>
      </c>
      <c r="L250">
        <v>0</v>
      </c>
      <c r="M250">
        <v>0</v>
      </c>
      <c r="N250">
        <v>0</v>
      </c>
      <c r="O250">
        <v>0</v>
      </c>
      <c r="P250">
        <v>110</v>
      </c>
      <c r="Q250" s="5">
        <f>unitlist3[[#This Row],[health]]/unitlist3[[#This Row],[buildtime]]</f>
        <v>6.1111111111111109E-2</v>
      </c>
      <c r="R250" s="5">
        <f>unitlist3[[#This Row],[dps]]/unitlist3[[#This Row],[metalcost]]</f>
        <v>0</v>
      </c>
      <c r="Z250">
        <v>1</v>
      </c>
      <c r="AA250">
        <v>0</v>
      </c>
      <c r="AB250">
        <v>0</v>
      </c>
      <c r="AD250">
        <v>900</v>
      </c>
      <c r="AE250">
        <v>2100</v>
      </c>
      <c r="AF250">
        <v>760</v>
      </c>
      <c r="AG250">
        <v>1140</v>
      </c>
      <c r="AH250" t="s">
        <v>48</v>
      </c>
      <c r="AI250" t="s">
        <v>41</v>
      </c>
      <c r="AJ250" t="s">
        <v>41</v>
      </c>
      <c r="AK250">
        <v>1</v>
      </c>
      <c r="AL250" t="s">
        <v>1356</v>
      </c>
      <c r="AM250" t="s">
        <v>41</v>
      </c>
    </row>
    <row r="251" spans="1:39" hidden="1">
      <c r="A251" t="s">
        <v>392</v>
      </c>
      <c r="B251" t="s">
        <v>38</v>
      </c>
      <c r="C251">
        <v>2</v>
      </c>
      <c r="D251" t="s">
        <v>393</v>
      </c>
      <c r="E251" t="s">
        <v>394</v>
      </c>
      <c r="F251" t="s">
        <v>41</v>
      </c>
      <c r="G251" t="s">
        <v>234</v>
      </c>
      <c r="H251">
        <v>64</v>
      </c>
      <c r="I251">
        <v>4300</v>
      </c>
      <c r="J251">
        <v>21000</v>
      </c>
      <c r="K251">
        <v>70000</v>
      </c>
      <c r="L251">
        <v>0</v>
      </c>
      <c r="M251">
        <v>1000</v>
      </c>
      <c r="N251">
        <v>0</v>
      </c>
      <c r="O251">
        <v>0</v>
      </c>
      <c r="P251">
        <v>4450</v>
      </c>
      <c r="Q251" s="5">
        <f>unitlist3[[#This Row],[health]]/unitlist3[[#This Row],[buildtime]]</f>
        <v>6.357142857142857E-2</v>
      </c>
      <c r="R251" s="5">
        <f>unitlist3[[#This Row],[dps]]/unitlist3[[#This Row],[metalcost]]</f>
        <v>0</v>
      </c>
      <c r="Z251">
        <v>1</v>
      </c>
      <c r="AA251">
        <v>0</v>
      </c>
      <c r="AB251">
        <v>0</v>
      </c>
      <c r="AF251">
        <v>273</v>
      </c>
      <c r="AG251">
        <v>410</v>
      </c>
      <c r="AH251" t="s">
        <v>41</v>
      </c>
      <c r="AI251" t="s">
        <v>41</v>
      </c>
      <c r="AJ251" t="s">
        <v>41</v>
      </c>
      <c r="AK251">
        <v>1</v>
      </c>
      <c r="AL251" t="s">
        <v>1358</v>
      </c>
      <c r="AM251" t="s">
        <v>41</v>
      </c>
    </row>
    <row r="252" spans="1:39" hidden="1">
      <c r="A252" t="s">
        <v>400</v>
      </c>
      <c r="B252" t="s">
        <v>38</v>
      </c>
      <c r="C252">
        <v>1</v>
      </c>
      <c r="D252" t="s">
        <v>401</v>
      </c>
      <c r="E252" t="s">
        <v>402</v>
      </c>
      <c r="F252" t="s">
        <v>41</v>
      </c>
      <c r="G252" t="s">
        <v>403</v>
      </c>
      <c r="H252">
        <v>51</v>
      </c>
      <c r="I252">
        <v>560</v>
      </c>
      <c r="J252">
        <v>13000</v>
      </c>
      <c r="K252">
        <v>13100</v>
      </c>
      <c r="L252">
        <v>0</v>
      </c>
      <c r="M252">
        <v>300</v>
      </c>
      <c r="N252">
        <v>0</v>
      </c>
      <c r="O252">
        <v>0</v>
      </c>
      <c r="P252">
        <v>1940</v>
      </c>
      <c r="Q252" s="5">
        <f>unitlist3[[#This Row],[health]]/unitlist3[[#This Row],[buildtime]]</f>
        <v>0.14809160305343511</v>
      </c>
      <c r="R252" s="5">
        <f>unitlist3[[#This Row],[dps]]/unitlist3[[#This Row],[metalcost]]</f>
        <v>0</v>
      </c>
      <c r="Z252">
        <v>1</v>
      </c>
      <c r="AA252">
        <v>0</v>
      </c>
      <c r="AB252">
        <v>0</v>
      </c>
      <c r="AF252">
        <v>273</v>
      </c>
      <c r="AG252">
        <v>410</v>
      </c>
      <c r="AH252" t="s">
        <v>41</v>
      </c>
      <c r="AI252" t="s">
        <v>41</v>
      </c>
      <c r="AJ252" t="s">
        <v>41</v>
      </c>
      <c r="AK252">
        <v>1</v>
      </c>
      <c r="AL252" t="s">
        <v>1360</v>
      </c>
      <c r="AM252" t="s">
        <v>41</v>
      </c>
    </row>
    <row r="253" spans="1:39" hidden="1">
      <c r="A253" t="s">
        <v>404</v>
      </c>
      <c r="B253" t="s">
        <v>38</v>
      </c>
      <c r="C253">
        <v>2</v>
      </c>
      <c r="D253" t="s">
        <v>405</v>
      </c>
      <c r="E253" t="s">
        <v>406</v>
      </c>
      <c r="F253" t="s">
        <v>41</v>
      </c>
      <c r="G253" t="s">
        <v>407</v>
      </c>
      <c r="H253">
        <v>39</v>
      </c>
      <c r="I253">
        <v>1150</v>
      </c>
      <c r="J253">
        <v>25000</v>
      </c>
      <c r="K253">
        <v>41500</v>
      </c>
      <c r="L253">
        <v>0</v>
      </c>
      <c r="M253">
        <v>750</v>
      </c>
      <c r="N253">
        <v>0</v>
      </c>
      <c r="O253">
        <v>0</v>
      </c>
      <c r="P253">
        <v>13900</v>
      </c>
      <c r="Q253" s="5">
        <f>unitlist3[[#This Row],[health]]/unitlist3[[#This Row],[buildtime]]</f>
        <v>0.33493975903614459</v>
      </c>
      <c r="R253" s="5">
        <f>unitlist3[[#This Row],[dps]]/unitlist3[[#This Row],[metalcost]]</f>
        <v>0</v>
      </c>
      <c r="Z253">
        <v>1</v>
      </c>
      <c r="AA253">
        <v>0</v>
      </c>
      <c r="AB253">
        <v>0</v>
      </c>
      <c r="AF253">
        <v>273</v>
      </c>
      <c r="AG253">
        <v>410</v>
      </c>
      <c r="AH253" t="s">
        <v>41</v>
      </c>
      <c r="AI253" t="s">
        <v>41</v>
      </c>
      <c r="AJ253" t="s">
        <v>41</v>
      </c>
      <c r="AK253">
        <v>1</v>
      </c>
      <c r="AL253" t="s">
        <v>1361</v>
      </c>
      <c r="AM253" t="s">
        <v>41</v>
      </c>
    </row>
    <row r="254" spans="1:39" hidden="1">
      <c r="A254" t="s">
        <v>429</v>
      </c>
      <c r="B254" t="s">
        <v>38</v>
      </c>
      <c r="C254">
        <v>1</v>
      </c>
      <c r="D254" t="s">
        <v>430</v>
      </c>
      <c r="E254" t="s">
        <v>352</v>
      </c>
      <c r="F254" t="s">
        <v>41</v>
      </c>
      <c r="G254" t="s">
        <v>353</v>
      </c>
      <c r="H254">
        <v>32</v>
      </c>
      <c r="I254">
        <v>900</v>
      </c>
      <c r="J254">
        <v>3000</v>
      </c>
      <c r="K254">
        <v>11000</v>
      </c>
      <c r="L254">
        <v>0</v>
      </c>
      <c r="M254">
        <v>0</v>
      </c>
      <c r="N254">
        <v>100</v>
      </c>
      <c r="O254">
        <v>0</v>
      </c>
      <c r="P254">
        <v>3350</v>
      </c>
      <c r="Q254" s="5">
        <f>unitlist3[[#This Row],[health]]/unitlist3[[#This Row],[buildtime]]</f>
        <v>0.30454545454545456</v>
      </c>
      <c r="R254" s="5">
        <f>unitlist3[[#This Row],[dps]]/unitlist3[[#This Row],[metalcost]]</f>
        <v>0</v>
      </c>
      <c r="Z254">
        <v>1</v>
      </c>
      <c r="AA254">
        <v>0</v>
      </c>
      <c r="AB254">
        <v>0</v>
      </c>
      <c r="AF254">
        <v>286</v>
      </c>
      <c r="AG254">
        <v>429</v>
      </c>
      <c r="AH254" t="s">
        <v>41</v>
      </c>
      <c r="AI254" t="s">
        <v>41</v>
      </c>
      <c r="AJ254" t="s">
        <v>354</v>
      </c>
      <c r="AK254">
        <v>1</v>
      </c>
      <c r="AL254" t="s">
        <v>1367</v>
      </c>
      <c r="AM254" t="s">
        <v>41</v>
      </c>
    </row>
    <row r="255" spans="1:39" hidden="1">
      <c r="A255" t="s">
        <v>1368</v>
      </c>
      <c r="B255" t="s">
        <v>38</v>
      </c>
      <c r="C255">
        <v>1</v>
      </c>
      <c r="D255" t="s">
        <v>1369</v>
      </c>
      <c r="E255" t="s">
        <v>1370</v>
      </c>
      <c r="F255" t="s">
        <v>41</v>
      </c>
      <c r="G255" t="s">
        <v>171</v>
      </c>
      <c r="H255">
        <v>26</v>
      </c>
      <c r="I255">
        <v>190</v>
      </c>
      <c r="J255">
        <v>4000</v>
      </c>
      <c r="K255">
        <v>8500</v>
      </c>
      <c r="L255">
        <v>0</v>
      </c>
      <c r="M255">
        <v>0</v>
      </c>
      <c r="N255">
        <v>0</v>
      </c>
      <c r="O255">
        <v>110</v>
      </c>
      <c r="P255">
        <v>630</v>
      </c>
      <c r="Q255" s="5">
        <f>unitlist3[[#This Row],[health]]/unitlist3[[#This Row],[buildtime]]</f>
        <v>7.4117647058823524E-2</v>
      </c>
      <c r="R255" s="5">
        <f>unitlist3[[#This Row],[dps]]/unitlist3[[#This Row],[metalcost]]</f>
        <v>0</v>
      </c>
      <c r="U255">
        <v>1</v>
      </c>
      <c r="AA255">
        <v>0</v>
      </c>
      <c r="AB255">
        <v>0</v>
      </c>
      <c r="AF255">
        <v>260</v>
      </c>
      <c r="AG255">
        <v>390</v>
      </c>
      <c r="AH255" t="s">
        <v>172</v>
      </c>
      <c r="AI255" t="s">
        <v>41</v>
      </c>
      <c r="AJ255" t="s">
        <v>41</v>
      </c>
      <c r="AK255">
        <v>1</v>
      </c>
      <c r="AL255" t="s">
        <v>1371</v>
      </c>
      <c r="AM255" t="s">
        <v>41</v>
      </c>
    </row>
    <row r="256" spans="1:39">
      <c r="A256" t="s">
        <v>431</v>
      </c>
      <c r="B256" t="s">
        <v>38</v>
      </c>
      <c r="C256">
        <v>2</v>
      </c>
      <c r="D256" t="s">
        <v>432</v>
      </c>
      <c r="E256" t="s">
        <v>433</v>
      </c>
      <c r="F256" t="s">
        <v>41</v>
      </c>
      <c r="G256" t="s">
        <v>434</v>
      </c>
      <c r="H256">
        <v>17</v>
      </c>
      <c r="I256">
        <v>105</v>
      </c>
      <c r="J256">
        <v>1700</v>
      </c>
      <c r="K256">
        <v>5930</v>
      </c>
      <c r="L256">
        <v>0</v>
      </c>
      <c r="M256">
        <v>0</v>
      </c>
      <c r="N256">
        <v>0</v>
      </c>
      <c r="O256">
        <v>33</v>
      </c>
      <c r="P256">
        <v>510</v>
      </c>
      <c r="Q256" s="5">
        <f>unitlist3[[#This Row],[health]]/unitlist3[[#This Row],[buildtime]]</f>
        <v>8.6003372681281623E-2</v>
      </c>
      <c r="R256" s="5">
        <f>unitlist3[[#This Row],[dps]]/unitlist3[[#This Row],[metalcost]]</f>
        <v>0</v>
      </c>
      <c r="AA256">
        <v>0</v>
      </c>
      <c r="AB256">
        <v>0</v>
      </c>
      <c r="AC256">
        <v>450</v>
      </c>
      <c r="AF256">
        <v>300</v>
      </c>
      <c r="AG256">
        <v>450</v>
      </c>
      <c r="AH256" t="s">
        <v>148</v>
      </c>
      <c r="AI256" t="s">
        <v>41</v>
      </c>
      <c r="AJ256" t="s">
        <v>41</v>
      </c>
      <c r="AK256">
        <v>1</v>
      </c>
      <c r="AL256" t="s">
        <v>1372</v>
      </c>
      <c r="AM256" t="s">
        <v>41</v>
      </c>
    </row>
    <row r="257" spans="1:39" hidden="1">
      <c r="A257" t="s">
        <v>435</v>
      </c>
      <c r="B257" t="s">
        <v>38</v>
      </c>
      <c r="C257">
        <v>1</v>
      </c>
      <c r="D257" t="s">
        <v>436</v>
      </c>
      <c r="E257" t="s">
        <v>437</v>
      </c>
      <c r="F257" t="s">
        <v>41</v>
      </c>
      <c r="G257" t="s">
        <v>148</v>
      </c>
      <c r="H257">
        <v>77</v>
      </c>
      <c r="I257">
        <v>240</v>
      </c>
      <c r="J257">
        <v>8500</v>
      </c>
      <c r="K257">
        <v>9950</v>
      </c>
      <c r="L257">
        <v>0</v>
      </c>
      <c r="M257">
        <v>0</v>
      </c>
      <c r="N257">
        <v>0</v>
      </c>
      <c r="O257">
        <v>0</v>
      </c>
      <c r="P257">
        <v>790</v>
      </c>
      <c r="Q257" s="5">
        <f>unitlist3[[#This Row],[health]]/unitlist3[[#This Row],[buildtime]]</f>
        <v>7.9396984924623118E-2</v>
      </c>
      <c r="R257" s="5">
        <f>unitlist3[[#This Row],[dps]]/unitlist3[[#This Row],[metalcost]]</f>
        <v>0</v>
      </c>
      <c r="Z257">
        <v>1</v>
      </c>
      <c r="AA257">
        <v>0</v>
      </c>
      <c r="AB257">
        <v>0</v>
      </c>
      <c r="AC257">
        <v>500</v>
      </c>
      <c r="AF257">
        <v>195</v>
      </c>
      <c r="AG257">
        <v>293</v>
      </c>
      <c r="AH257" t="s">
        <v>438</v>
      </c>
      <c r="AI257" t="s">
        <v>41</v>
      </c>
      <c r="AJ257" t="s">
        <v>41</v>
      </c>
      <c r="AK257">
        <v>1</v>
      </c>
      <c r="AL257" t="s">
        <v>1373</v>
      </c>
      <c r="AM257" t="s">
        <v>41</v>
      </c>
    </row>
    <row r="258" spans="1:39" hidden="1">
      <c r="A258" t="s">
        <v>460</v>
      </c>
      <c r="B258" t="s">
        <v>38</v>
      </c>
      <c r="C258">
        <v>1</v>
      </c>
      <c r="D258" t="s">
        <v>461</v>
      </c>
      <c r="E258" t="s">
        <v>462</v>
      </c>
      <c r="F258" t="s">
        <v>41</v>
      </c>
      <c r="G258" t="s">
        <v>463</v>
      </c>
      <c r="H258">
        <v>28</v>
      </c>
      <c r="I258">
        <v>650</v>
      </c>
      <c r="J258">
        <v>1200</v>
      </c>
      <c r="K258">
        <v>6500</v>
      </c>
      <c r="L258">
        <v>0</v>
      </c>
      <c r="M258">
        <v>0</v>
      </c>
      <c r="N258">
        <v>100</v>
      </c>
      <c r="O258">
        <v>0</v>
      </c>
      <c r="P258">
        <v>2900</v>
      </c>
      <c r="Q258" s="5">
        <f>unitlist3[[#This Row],[health]]/unitlist3[[#This Row],[buildtime]]</f>
        <v>0.44615384615384618</v>
      </c>
      <c r="R258" s="5">
        <f>unitlist3[[#This Row],[dps]]/unitlist3[[#This Row],[metalcost]]</f>
        <v>0</v>
      </c>
      <c r="Z258">
        <v>1</v>
      </c>
      <c r="AA258">
        <v>0</v>
      </c>
      <c r="AB258">
        <v>0</v>
      </c>
      <c r="AF258">
        <v>290</v>
      </c>
      <c r="AG258">
        <v>435</v>
      </c>
      <c r="AH258" t="s">
        <v>41</v>
      </c>
      <c r="AI258" t="s">
        <v>41</v>
      </c>
      <c r="AJ258" t="s">
        <v>464</v>
      </c>
      <c r="AK258">
        <v>1</v>
      </c>
      <c r="AL258" t="s">
        <v>1379</v>
      </c>
      <c r="AM258" t="s">
        <v>41</v>
      </c>
    </row>
    <row r="259" spans="1:39" hidden="1">
      <c r="A259" t="s">
        <v>491</v>
      </c>
      <c r="B259" t="s">
        <v>38</v>
      </c>
      <c r="C259">
        <v>1</v>
      </c>
      <c r="D259" t="s">
        <v>492</v>
      </c>
      <c r="E259" t="s">
        <v>493</v>
      </c>
      <c r="F259" t="s">
        <v>41</v>
      </c>
      <c r="G259" t="s">
        <v>380</v>
      </c>
      <c r="H259">
        <v>23</v>
      </c>
      <c r="I259">
        <v>1</v>
      </c>
      <c r="J259">
        <v>1150</v>
      </c>
      <c r="K259">
        <v>2600</v>
      </c>
      <c r="L259">
        <v>0</v>
      </c>
      <c r="M259">
        <v>0</v>
      </c>
      <c r="N259">
        <v>0</v>
      </c>
      <c r="O259">
        <v>0</v>
      </c>
      <c r="P259">
        <v>167</v>
      </c>
      <c r="Q259" s="5">
        <f>unitlist3[[#This Row],[health]]/unitlist3[[#This Row],[buildtime]]</f>
        <v>6.423076923076923E-2</v>
      </c>
      <c r="R259" s="5">
        <f>unitlist3[[#This Row],[dps]]/unitlist3[[#This Row],[metalcost]]</f>
        <v>0</v>
      </c>
      <c r="Z259">
        <v>1</v>
      </c>
      <c r="AA259">
        <v>0</v>
      </c>
      <c r="AB259">
        <v>0</v>
      </c>
      <c r="AF259">
        <v>273</v>
      </c>
      <c r="AG259">
        <v>410</v>
      </c>
      <c r="AH259" t="s">
        <v>41</v>
      </c>
      <c r="AI259" t="s">
        <v>41</v>
      </c>
      <c r="AJ259" t="s">
        <v>41</v>
      </c>
      <c r="AK259">
        <v>1</v>
      </c>
      <c r="AL259" t="s">
        <v>1387</v>
      </c>
      <c r="AM259" t="s">
        <v>41</v>
      </c>
    </row>
    <row r="260" spans="1:39">
      <c r="A260" t="s">
        <v>502</v>
      </c>
      <c r="B260" t="s">
        <v>38</v>
      </c>
      <c r="C260">
        <v>2</v>
      </c>
      <c r="D260" t="s">
        <v>503</v>
      </c>
      <c r="E260" t="s">
        <v>504</v>
      </c>
      <c r="F260" t="s">
        <v>41</v>
      </c>
      <c r="G260" t="s">
        <v>505</v>
      </c>
      <c r="H260">
        <v>27</v>
      </c>
      <c r="I260">
        <v>100</v>
      </c>
      <c r="J260">
        <v>1250</v>
      </c>
      <c r="K260">
        <v>3800</v>
      </c>
      <c r="L260">
        <v>0</v>
      </c>
      <c r="M260">
        <v>0</v>
      </c>
      <c r="N260">
        <v>0</v>
      </c>
      <c r="O260">
        <v>41</v>
      </c>
      <c r="P260">
        <v>355</v>
      </c>
      <c r="Q260" s="5">
        <f>unitlist3[[#This Row],[health]]/unitlist3[[#This Row],[buildtime]]</f>
        <v>9.3421052631578946E-2</v>
      </c>
      <c r="R260" s="5">
        <f>unitlist3[[#This Row],[dps]]/unitlist3[[#This Row],[metalcost]]</f>
        <v>0</v>
      </c>
      <c r="AA260">
        <v>0</v>
      </c>
      <c r="AB260">
        <v>0</v>
      </c>
      <c r="AE260">
        <v>2200</v>
      </c>
      <c r="AF260">
        <v>900</v>
      </c>
      <c r="AG260">
        <v>1350</v>
      </c>
      <c r="AH260" t="s">
        <v>48</v>
      </c>
      <c r="AI260" t="s">
        <v>41</v>
      </c>
      <c r="AJ260" t="s">
        <v>41</v>
      </c>
      <c r="AK260">
        <v>1</v>
      </c>
      <c r="AL260" t="s">
        <v>1390</v>
      </c>
      <c r="AM260" t="s">
        <v>41</v>
      </c>
    </row>
    <row r="261" spans="1:39" hidden="1">
      <c r="A261" t="s">
        <v>522</v>
      </c>
      <c r="B261" t="s">
        <v>38</v>
      </c>
      <c r="C261">
        <v>1</v>
      </c>
      <c r="D261" t="s">
        <v>523</v>
      </c>
      <c r="E261" t="s">
        <v>524</v>
      </c>
      <c r="F261" t="s">
        <v>41</v>
      </c>
      <c r="G261" t="s">
        <v>525</v>
      </c>
      <c r="H261">
        <v>41</v>
      </c>
      <c r="I261">
        <v>50</v>
      </c>
      <c r="J261">
        <v>500</v>
      </c>
      <c r="K261">
        <v>1800</v>
      </c>
      <c r="L261">
        <v>0</v>
      </c>
      <c r="M261">
        <v>0</v>
      </c>
      <c r="N261">
        <v>0</v>
      </c>
      <c r="O261">
        <v>0</v>
      </c>
      <c r="P261">
        <v>189</v>
      </c>
      <c r="Q261" s="5">
        <f>unitlist3[[#This Row],[health]]/unitlist3[[#This Row],[buildtime]]</f>
        <v>0.105</v>
      </c>
      <c r="R261" s="5">
        <f>unitlist3[[#This Row],[dps]]/unitlist3[[#This Row],[metalcost]]</f>
        <v>0</v>
      </c>
      <c r="S261">
        <v>1</v>
      </c>
      <c r="Z261">
        <v>1</v>
      </c>
      <c r="AA261">
        <v>0</v>
      </c>
      <c r="AB261">
        <v>0</v>
      </c>
      <c r="AF261">
        <v>273</v>
      </c>
      <c r="AG261">
        <v>410</v>
      </c>
      <c r="AH261" t="s">
        <v>41</v>
      </c>
      <c r="AI261" t="s">
        <v>41</v>
      </c>
      <c r="AJ261" t="s">
        <v>41</v>
      </c>
      <c r="AK261">
        <v>1</v>
      </c>
      <c r="AL261" t="s">
        <v>1395</v>
      </c>
      <c r="AM261" t="s">
        <v>41</v>
      </c>
    </row>
    <row r="262" spans="1:39" hidden="1">
      <c r="A262" t="s">
        <v>535</v>
      </c>
      <c r="B262" t="s">
        <v>38</v>
      </c>
      <c r="C262">
        <v>2</v>
      </c>
      <c r="D262" t="s">
        <v>536</v>
      </c>
      <c r="E262" t="s">
        <v>537</v>
      </c>
      <c r="F262" t="s">
        <v>41</v>
      </c>
      <c r="G262" t="s">
        <v>538</v>
      </c>
      <c r="H262">
        <v>13</v>
      </c>
      <c r="I262">
        <v>190</v>
      </c>
      <c r="J262">
        <v>3200</v>
      </c>
      <c r="K262">
        <v>4720</v>
      </c>
      <c r="L262">
        <v>0</v>
      </c>
      <c r="M262">
        <v>0</v>
      </c>
      <c r="N262">
        <v>200</v>
      </c>
      <c r="O262">
        <v>66</v>
      </c>
      <c r="P262">
        <v>1460</v>
      </c>
      <c r="Q262" s="5">
        <f>unitlist3[[#This Row],[health]]/unitlist3[[#This Row],[buildtime]]</f>
        <v>0.30932203389830509</v>
      </c>
      <c r="R262" s="5">
        <f>unitlist3[[#This Row],[dps]]/unitlist3[[#This Row],[metalcost]]</f>
        <v>0</v>
      </c>
      <c r="W262">
        <v>1</v>
      </c>
      <c r="AA262">
        <v>0</v>
      </c>
      <c r="AB262">
        <v>0</v>
      </c>
      <c r="AF262">
        <v>300</v>
      </c>
      <c r="AG262">
        <v>450</v>
      </c>
      <c r="AH262" t="s">
        <v>41</v>
      </c>
      <c r="AI262" t="s">
        <v>41</v>
      </c>
      <c r="AJ262" t="s">
        <v>1400</v>
      </c>
      <c r="AK262">
        <v>1</v>
      </c>
      <c r="AL262" t="s">
        <v>1401</v>
      </c>
      <c r="AM262" t="s">
        <v>41</v>
      </c>
    </row>
    <row r="263" spans="1:39">
      <c r="A263" t="s">
        <v>539</v>
      </c>
      <c r="B263" t="s">
        <v>38</v>
      </c>
      <c r="C263">
        <v>1</v>
      </c>
      <c r="D263" t="s">
        <v>540</v>
      </c>
      <c r="E263" t="s">
        <v>541</v>
      </c>
      <c r="F263" t="s">
        <v>41</v>
      </c>
      <c r="G263" t="s">
        <v>542</v>
      </c>
      <c r="H263">
        <v>18</v>
      </c>
      <c r="I263">
        <v>57</v>
      </c>
      <c r="J263">
        <v>1100</v>
      </c>
      <c r="K263">
        <v>3520</v>
      </c>
      <c r="L263">
        <v>0</v>
      </c>
      <c r="M263">
        <v>0</v>
      </c>
      <c r="N263">
        <v>40</v>
      </c>
      <c r="O263">
        <v>75</v>
      </c>
      <c r="P263">
        <v>335</v>
      </c>
      <c r="Q263" s="5">
        <f>unitlist3[[#This Row],[health]]/unitlist3[[#This Row],[buildtime]]</f>
        <v>9.5170454545454544E-2</v>
      </c>
      <c r="R263" s="5">
        <f>unitlist3[[#This Row],[dps]]/unitlist3[[#This Row],[metalcost]]</f>
        <v>0</v>
      </c>
      <c r="AA263">
        <v>0</v>
      </c>
      <c r="AB263">
        <v>0</v>
      </c>
      <c r="AC263">
        <v>64</v>
      </c>
      <c r="AF263">
        <v>450</v>
      </c>
      <c r="AG263">
        <v>675</v>
      </c>
      <c r="AH263" t="s">
        <v>239</v>
      </c>
      <c r="AI263" t="s">
        <v>41</v>
      </c>
      <c r="AJ263" t="s">
        <v>543</v>
      </c>
      <c r="AK263">
        <v>1</v>
      </c>
      <c r="AL263" t="s">
        <v>1402</v>
      </c>
      <c r="AM263" t="s">
        <v>41</v>
      </c>
    </row>
    <row r="264" spans="1:39" hidden="1">
      <c r="A264" t="s">
        <v>544</v>
      </c>
      <c r="B264" t="s">
        <v>38</v>
      </c>
      <c r="C264">
        <v>2</v>
      </c>
      <c r="D264" t="s">
        <v>545</v>
      </c>
      <c r="E264" t="s">
        <v>546</v>
      </c>
      <c r="F264" t="s">
        <v>41</v>
      </c>
      <c r="G264" t="s">
        <v>547</v>
      </c>
      <c r="H264">
        <v>28</v>
      </c>
      <c r="I264">
        <v>380</v>
      </c>
      <c r="J264">
        <v>21000</v>
      </c>
      <c r="K264">
        <v>35000</v>
      </c>
      <c r="L264">
        <v>0</v>
      </c>
      <c r="M264">
        <v>0</v>
      </c>
      <c r="N264">
        <v>0</v>
      </c>
      <c r="O264">
        <v>0</v>
      </c>
      <c r="P264">
        <v>445</v>
      </c>
      <c r="Q264" s="5">
        <f>unitlist3[[#This Row],[health]]/unitlist3[[#This Row],[buildtime]]</f>
        <v>1.2714285714285714E-2</v>
      </c>
      <c r="R264" s="5">
        <f>unitlist3[[#This Row],[dps]]/unitlist3[[#This Row],[metalcost]]</f>
        <v>0</v>
      </c>
      <c r="Z264">
        <v>1</v>
      </c>
      <c r="AA264">
        <v>0</v>
      </c>
      <c r="AB264">
        <v>0</v>
      </c>
      <c r="AF264">
        <v>273</v>
      </c>
      <c r="AG264">
        <v>410</v>
      </c>
      <c r="AH264" t="s">
        <v>41</v>
      </c>
      <c r="AI264" t="s">
        <v>41</v>
      </c>
      <c r="AJ264" t="s">
        <v>41</v>
      </c>
      <c r="AK264">
        <v>1</v>
      </c>
      <c r="AL264" t="s">
        <v>1403</v>
      </c>
      <c r="AM264" t="s">
        <v>41</v>
      </c>
    </row>
    <row r="265" spans="1:39" hidden="1">
      <c r="A265" t="s">
        <v>548</v>
      </c>
      <c r="B265" t="s">
        <v>38</v>
      </c>
      <c r="C265">
        <v>2</v>
      </c>
      <c r="D265" t="s">
        <v>549</v>
      </c>
      <c r="E265" t="s">
        <v>550</v>
      </c>
      <c r="F265" t="s">
        <v>41</v>
      </c>
      <c r="G265" t="s">
        <v>551</v>
      </c>
      <c r="H265">
        <v>71</v>
      </c>
      <c r="I265">
        <v>620</v>
      </c>
      <c r="J265">
        <v>7700</v>
      </c>
      <c r="K265">
        <v>14900</v>
      </c>
      <c r="L265">
        <v>0</v>
      </c>
      <c r="M265">
        <v>0</v>
      </c>
      <c r="N265">
        <v>0</v>
      </c>
      <c r="O265">
        <v>0</v>
      </c>
      <c r="P265">
        <v>2800</v>
      </c>
      <c r="Q265" s="5">
        <f>unitlist3[[#This Row],[health]]/unitlist3[[#This Row],[buildtime]]</f>
        <v>0.18791946308724833</v>
      </c>
      <c r="R265" s="5">
        <f>unitlist3[[#This Row],[dps]]/unitlist3[[#This Row],[metalcost]]</f>
        <v>0</v>
      </c>
      <c r="Z265">
        <v>1</v>
      </c>
      <c r="AA265">
        <v>0</v>
      </c>
      <c r="AB265">
        <v>0</v>
      </c>
      <c r="AF265">
        <v>273</v>
      </c>
      <c r="AG265">
        <v>410</v>
      </c>
      <c r="AH265" t="s">
        <v>41</v>
      </c>
      <c r="AI265" t="s">
        <v>41</v>
      </c>
      <c r="AJ265" t="s">
        <v>41</v>
      </c>
      <c r="AK265">
        <v>1</v>
      </c>
      <c r="AL265" t="s">
        <v>1404</v>
      </c>
      <c r="AM265" t="s">
        <v>41</v>
      </c>
    </row>
    <row r="266" spans="1:39" hidden="1">
      <c r="A266" t="s">
        <v>556</v>
      </c>
      <c r="B266" t="s">
        <v>38</v>
      </c>
      <c r="C266">
        <v>1</v>
      </c>
      <c r="D266" t="s">
        <v>557</v>
      </c>
      <c r="E266" t="s">
        <v>558</v>
      </c>
      <c r="F266" t="s">
        <v>41</v>
      </c>
      <c r="G266" t="s">
        <v>559</v>
      </c>
      <c r="H266">
        <v>49</v>
      </c>
      <c r="I266">
        <v>330</v>
      </c>
      <c r="J266">
        <v>570</v>
      </c>
      <c r="K266">
        <v>2920</v>
      </c>
      <c r="L266">
        <v>0</v>
      </c>
      <c r="M266">
        <v>0</v>
      </c>
      <c r="N266">
        <v>0</v>
      </c>
      <c r="O266">
        <v>0</v>
      </c>
      <c r="P266">
        <v>2100</v>
      </c>
      <c r="Q266" s="5">
        <f>unitlist3[[#This Row],[health]]/unitlist3[[#This Row],[buildtime]]</f>
        <v>0.71917808219178081</v>
      </c>
      <c r="R266" s="5">
        <f>unitlist3[[#This Row],[dps]]/unitlist3[[#This Row],[metalcost]]</f>
        <v>0</v>
      </c>
      <c r="Z266">
        <v>1</v>
      </c>
      <c r="AA266">
        <v>0</v>
      </c>
      <c r="AB266">
        <v>0</v>
      </c>
      <c r="AF266">
        <v>273</v>
      </c>
      <c r="AG266">
        <v>410</v>
      </c>
      <c r="AH266" t="s">
        <v>41</v>
      </c>
      <c r="AI266" t="s">
        <v>41</v>
      </c>
      <c r="AJ266" t="s">
        <v>41</v>
      </c>
      <c r="AK266">
        <v>1</v>
      </c>
      <c r="AL266" t="s">
        <v>1406</v>
      </c>
      <c r="AM266" t="s">
        <v>41</v>
      </c>
    </row>
    <row r="267" spans="1:39" hidden="1">
      <c r="A267" t="s">
        <v>560</v>
      </c>
      <c r="B267" t="s">
        <v>38</v>
      </c>
      <c r="C267">
        <v>1</v>
      </c>
      <c r="D267" t="s">
        <v>561</v>
      </c>
      <c r="E267" t="s">
        <v>562</v>
      </c>
      <c r="F267" t="s">
        <v>41</v>
      </c>
      <c r="G267" t="s">
        <v>563</v>
      </c>
      <c r="H267">
        <v>35</v>
      </c>
      <c r="I267">
        <v>210</v>
      </c>
      <c r="J267">
        <v>3200</v>
      </c>
      <c r="K267">
        <v>5300</v>
      </c>
      <c r="L267">
        <v>0</v>
      </c>
      <c r="M267">
        <v>0</v>
      </c>
      <c r="N267">
        <v>200</v>
      </c>
      <c r="O267">
        <v>0</v>
      </c>
      <c r="P267">
        <v>560</v>
      </c>
      <c r="Q267" s="5">
        <f>unitlist3[[#This Row],[health]]/unitlist3[[#This Row],[buildtime]]</f>
        <v>0.10566037735849057</v>
      </c>
      <c r="R267" s="5">
        <f>unitlist3[[#This Row],[dps]]/unitlist3[[#This Row],[metalcost]]</f>
        <v>0</v>
      </c>
      <c r="Z267">
        <v>1</v>
      </c>
      <c r="AA267">
        <v>0</v>
      </c>
      <c r="AB267">
        <v>0</v>
      </c>
      <c r="AF267">
        <v>380</v>
      </c>
      <c r="AG267">
        <v>570</v>
      </c>
      <c r="AH267" t="s">
        <v>41</v>
      </c>
      <c r="AI267" t="s">
        <v>41</v>
      </c>
      <c r="AJ267" t="s">
        <v>41</v>
      </c>
      <c r="AK267">
        <v>1</v>
      </c>
      <c r="AL267" t="s">
        <v>1407</v>
      </c>
      <c r="AM267" t="s">
        <v>41</v>
      </c>
    </row>
    <row r="268" spans="1:39" hidden="1">
      <c r="A268" t="s">
        <v>564</v>
      </c>
      <c r="B268" t="s">
        <v>38</v>
      </c>
      <c r="C268">
        <v>1</v>
      </c>
      <c r="D268" t="s">
        <v>565</v>
      </c>
      <c r="E268" t="s">
        <v>562</v>
      </c>
      <c r="F268" t="s">
        <v>41</v>
      </c>
      <c r="G268" t="s">
        <v>563</v>
      </c>
      <c r="H268">
        <v>30</v>
      </c>
      <c r="I268">
        <v>230</v>
      </c>
      <c r="J268">
        <v>2600</v>
      </c>
      <c r="K268">
        <v>5300</v>
      </c>
      <c r="L268">
        <v>0</v>
      </c>
      <c r="M268">
        <v>0</v>
      </c>
      <c r="N268">
        <v>200</v>
      </c>
      <c r="O268">
        <v>0</v>
      </c>
      <c r="P268">
        <v>560</v>
      </c>
      <c r="Q268" s="5">
        <f>unitlist3[[#This Row],[health]]/unitlist3[[#This Row],[buildtime]]</f>
        <v>0.10566037735849057</v>
      </c>
      <c r="R268" s="5">
        <f>unitlist3[[#This Row],[dps]]/unitlist3[[#This Row],[metalcost]]</f>
        <v>0</v>
      </c>
      <c r="Z268">
        <v>1</v>
      </c>
      <c r="AA268">
        <v>0</v>
      </c>
      <c r="AB268">
        <v>0</v>
      </c>
      <c r="AF268">
        <v>380</v>
      </c>
      <c r="AG268">
        <v>570</v>
      </c>
      <c r="AH268" t="s">
        <v>41</v>
      </c>
      <c r="AI268" t="s">
        <v>41</v>
      </c>
      <c r="AJ268" t="s">
        <v>41</v>
      </c>
      <c r="AK268">
        <v>1</v>
      </c>
      <c r="AL268" t="s">
        <v>1408</v>
      </c>
      <c r="AM268" t="s">
        <v>41</v>
      </c>
    </row>
    <row r="269" spans="1:39" hidden="1">
      <c r="A269" t="s">
        <v>570</v>
      </c>
      <c r="B269" t="s">
        <v>38</v>
      </c>
      <c r="C269">
        <v>1</v>
      </c>
      <c r="D269" t="s">
        <v>571</v>
      </c>
      <c r="E269" t="s">
        <v>572</v>
      </c>
      <c r="F269" t="s">
        <v>41</v>
      </c>
      <c r="G269" t="s">
        <v>573</v>
      </c>
      <c r="H269">
        <v>10</v>
      </c>
      <c r="I269">
        <v>52</v>
      </c>
      <c r="J269">
        <v>1550</v>
      </c>
      <c r="K269">
        <v>2800</v>
      </c>
      <c r="L269">
        <v>0</v>
      </c>
      <c r="M269">
        <v>0</v>
      </c>
      <c r="N269">
        <v>0</v>
      </c>
      <c r="O269">
        <v>375</v>
      </c>
      <c r="P269">
        <v>89</v>
      </c>
      <c r="Q269" s="5">
        <f>unitlist3[[#This Row],[health]]/unitlist3[[#This Row],[buildtime]]</f>
        <v>3.1785714285714285E-2</v>
      </c>
      <c r="R269" s="5">
        <f>unitlist3[[#This Row],[dps]]/unitlist3[[#This Row],[metalcost]]</f>
        <v>0</v>
      </c>
      <c r="U269">
        <v>1</v>
      </c>
      <c r="AA269">
        <v>0</v>
      </c>
      <c r="AB269">
        <v>0</v>
      </c>
      <c r="AE269">
        <v>1140</v>
      </c>
      <c r="AF269">
        <v>865</v>
      </c>
      <c r="AG269">
        <v>1298</v>
      </c>
      <c r="AH269" t="s">
        <v>48</v>
      </c>
      <c r="AI269" t="s">
        <v>41</v>
      </c>
      <c r="AJ269" t="s">
        <v>41</v>
      </c>
      <c r="AK269">
        <v>1</v>
      </c>
      <c r="AL269" t="s">
        <v>1410</v>
      </c>
      <c r="AM269" t="s">
        <v>41</v>
      </c>
    </row>
    <row r="270" spans="1:39" hidden="1">
      <c r="A270" t="s">
        <v>578</v>
      </c>
      <c r="B270" t="s">
        <v>38</v>
      </c>
      <c r="C270">
        <v>1</v>
      </c>
      <c r="D270" t="s">
        <v>579</v>
      </c>
      <c r="E270" t="s">
        <v>580</v>
      </c>
      <c r="F270" t="s">
        <v>41</v>
      </c>
      <c r="G270" t="s">
        <v>581</v>
      </c>
      <c r="H270">
        <v>32</v>
      </c>
      <c r="I270">
        <v>1450</v>
      </c>
      <c r="J270">
        <v>5000</v>
      </c>
      <c r="K270">
        <v>12000</v>
      </c>
      <c r="L270">
        <v>0</v>
      </c>
      <c r="M270">
        <v>0</v>
      </c>
      <c r="N270">
        <v>200</v>
      </c>
      <c r="O270">
        <v>0</v>
      </c>
      <c r="P270">
        <v>2000</v>
      </c>
      <c r="Q270" s="5">
        <f>unitlist3[[#This Row],[health]]/unitlist3[[#This Row],[buildtime]]</f>
        <v>0.16666666666666666</v>
      </c>
      <c r="R270" s="5">
        <f>unitlist3[[#This Row],[dps]]/unitlist3[[#This Row],[metalcost]]</f>
        <v>0</v>
      </c>
      <c r="T270">
        <v>1</v>
      </c>
      <c r="Z270">
        <v>1</v>
      </c>
      <c r="AA270">
        <v>0</v>
      </c>
      <c r="AB270">
        <v>0</v>
      </c>
      <c r="AD270">
        <v>600</v>
      </c>
      <c r="AE270">
        <v>750</v>
      </c>
      <c r="AF270">
        <v>169</v>
      </c>
      <c r="AG270">
        <v>254</v>
      </c>
      <c r="AH270" t="s">
        <v>41</v>
      </c>
      <c r="AI270" t="s">
        <v>41</v>
      </c>
      <c r="AJ270" t="s">
        <v>582</v>
      </c>
      <c r="AK270">
        <v>1</v>
      </c>
      <c r="AL270" t="s">
        <v>1412</v>
      </c>
      <c r="AM270" t="s">
        <v>41</v>
      </c>
    </row>
    <row r="271" spans="1:39" hidden="1">
      <c r="A271" t="s">
        <v>602</v>
      </c>
      <c r="B271" t="s">
        <v>38</v>
      </c>
      <c r="C271">
        <v>1</v>
      </c>
      <c r="D271" t="s">
        <v>603</v>
      </c>
      <c r="E271" t="s">
        <v>386</v>
      </c>
      <c r="F271" t="s">
        <v>41</v>
      </c>
      <c r="G271" t="s">
        <v>387</v>
      </c>
      <c r="H271">
        <v>80</v>
      </c>
      <c r="I271">
        <v>60</v>
      </c>
      <c r="J271">
        <v>630</v>
      </c>
      <c r="K271">
        <v>1140</v>
      </c>
      <c r="L271">
        <v>0</v>
      </c>
      <c r="M271">
        <v>0</v>
      </c>
      <c r="N271">
        <v>0</v>
      </c>
      <c r="O271">
        <v>0</v>
      </c>
      <c r="P271">
        <v>90</v>
      </c>
      <c r="Q271" s="5">
        <f>unitlist3[[#This Row],[health]]/unitlist3[[#This Row],[buildtime]]</f>
        <v>7.8947368421052627E-2</v>
      </c>
      <c r="R271" s="5">
        <f>unitlist3[[#This Row],[dps]]/unitlist3[[#This Row],[metalcost]]</f>
        <v>0</v>
      </c>
      <c r="Z271">
        <v>1</v>
      </c>
      <c r="AA271">
        <v>0</v>
      </c>
      <c r="AB271">
        <v>0</v>
      </c>
      <c r="AE271">
        <v>2100</v>
      </c>
      <c r="AF271">
        <v>680</v>
      </c>
      <c r="AG271">
        <v>1020</v>
      </c>
      <c r="AH271" t="s">
        <v>48</v>
      </c>
      <c r="AI271" t="s">
        <v>41</v>
      </c>
      <c r="AJ271" t="s">
        <v>41</v>
      </c>
      <c r="AK271">
        <v>1</v>
      </c>
      <c r="AL271" t="s">
        <v>1417</v>
      </c>
      <c r="AM271" t="s">
        <v>41</v>
      </c>
    </row>
    <row r="272" spans="1:39">
      <c r="A272" t="s">
        <v>607</v>
      </c>
      <c r="B272" t="s">
        <v>38</v>
      </c>
      <c r="C272">
        <v>1</v>
      </c>
      <c r="D272" t="s">
        <v>608</v>
      </c>
      <c r="E272" t="s">
        <v>609</v>
      </c>
      <c r="F272" t="s">
        <v>41</v>
      </c>
      <c r="G272" t="s">
        <v>610</v>
      </c>
      <c r="H272">
        <v>14</v>
      </c>
      <c r="I272">
        <v>210</v>
      </c>
      <c r="J272">
        <v>3000</v>
      </c>
      <c r="K272">
        <v>6200</v>
      </c>
      <c r="L272">
        <v>0</v>
      </c>
      <c r="M272">
        <v>0</v>
      </c>
      <c r="N272">
        <v>150</v>
      </c>
      <c r="O272">
        <v>66</v>
      </c>
      <c r="P272">
        <v>420</v>
      </c>
      <c r="Q272" s="5">
        <f>unitlist3[[#This Row],[health]]/unitlist3[[#This Row],[buildtime]]</f>
        <v>6.7741935483870974E-2</v>
      </c>
      <c r="R272" s="5">
        <f>unitlist3[[#This Row],[dps]]/unitlist3[[#This Row],[metalcost]]</f>
        <v>0</v>
      </c>
      <c r="T272">
        <v>1</v>
      </c>
      <c r="AA272">
        <v>0</v>
      </c>
      <c r="AB272">
        <v>0</v>
      </c>
      <c r="AD272">
        <v>150</v>
      </c>
      <c r="AF272">
        <v>300</v>
      </c>
      <c r="AG272">
        <v>450</v>
      </c>
      <c r="AH272" t="s">
        <v>611</v>
      </c>
      <c r="AI272" t="s">
        <v>41</v>
      </c>
      <c r="AJ272" t="s">
        <v>41</v>
      </c>
      <c r="AK272">
        <v>1</v>
      </c>
      <c r="AL272" t="s">
        <v>1419</v>
      </c>
      <c r="AM272" t="s">
        <v>41</v>
      </c>
    </row>
    <row r="273" spans="1:39">
      <c r="A273" t="s">
        <v>612</v>
      </c>
      <c r="B273" t="s">
        <v>38</v>
      </c>
      <c r="C273">
        <v>1</v>
      </c>
      <c r="D273" t="s">
        <v>613</v>
      </c>
      <c r="E273" t="s">
        <v>614</v>
      </c>
      <c r="F273" t="s">
        <v>41</v>
      </c>
      <c r="G273" t="s">
        <v>615</v>
      </c>
      <c r="H273">
        <v>31</v>
      </c>
      <c r="I273">
        <v>130</v>
      </c>
      <c r="J273">
        <v>1400</v>
      </c>
      <c r="K273">
        <v>2800</v>
      </c>
      <c r="L273">
        <v>0</v>
      </c>
      <c r="M273">
        <v>0</v>
      </c>
      <c r="N273">
        <v>200</v>
      </c>
      <c r="O273">
        <v>78</v>
      </c>
      <c r="P273">
        <v>220</v>
      </c>
      <c r="Q273" s="5">
        <f>unitlist3[[#This Row],[health]]/unitlist3[[#This Row],[buildtime]]</f>
        <v>7.857142857142857E-2</v>
      </c>
      <c r="R273" s="5">
        <f>unitlist3[[#This Row],[dps]]/unitlist3[[#This Row],[metalcost]]</f>
        <v>0</v>
      </c>
      <c r="AA273">
        <v>0</v>
      </c>
      <c r="AB273">
        <v>0</v>
      </c>
      <c r="AE273">
        <v>50</v>
      </c>
      <c r="AF273">
        <v>430</v>
      </c>
      <c r="AG273">
        <v>645</v>
      </c>
      <c r="AH273" t="s">
        <v>616</v>
      </c>
      <c r="AI273" t="s">
        <v>41</v>
      </c>
      <c r="AJ273" t="s">
        <v>41</v>
      </c>
      <c r="AK273">
        <v>1</v>
      </c>
      <c r="AL273" t="s">
        <v>1420</v>
      </c>
      <c r="AM273" t="s">
        <v>41</v>
      </c>
    </row>
    <row r="274" spans="1:39" hidden="1">
      <c r="A274" t="s">
        <v>644</v>
      </c>
      <c r="B274" t="s">
        <v>38</v>
      </c>
      <c r="C274">
        <v>2</v>
      </c>
      <c r="D274" t="s">
        <v>645</v>
      </c>
      <c r="E274" t="s">
        <v>646</v>
      </c>
      <c r="F274" t="s">
        <v>41</v>
      </c>
      <c r="G274" t="s">
        <v>647</v>
      </c>
      <c r="H274">
        <v>50</v>
      </c>
      <c r="I274">
        <v>710</v>
      </c>
      <c r="J274">
        <v>7100</v>
      </c>
      <c r="K274">
        <v>11900</v>
      </c>
      <c r="L274">
        <v>0</v>
      </c>
      <c r="M274">
        <v>0</v>
      </c>
      <c r="N274">
        <v>0</v>
      </c>
      <c r="O274">
        <v>0</v>
      </c>
      <c r="P274">
        <v>2650</v>
      </c>
      <c r="Q274" s="5">
        <f>unitlist3[[#This Row],[health]]/unitlist3[[#This Row],[buildtime]]</f>
        <v>0.22268907563025211</v>
      </c>
      <c r="R274" s="5">
        <f>unitlist3[[#This Row],[dps]]/unitlist3[[#This Row],[metalcost]]</f>
        <v>0</v>
      </c>
      <c r="Z274">
        <v>1</v>
      </c>
      <c r="AA274">
        <v>0</v>
      </c>
      <c r="AB274">
        <v>2000</v>
      </c>
      <c r="AF274">
        <v>240</v>
      </c>
      <c r="AG274">
        <v>360</v>
      </c>
      <c r="AH274" t="s">
        <v>648</v>
      </c>
      <c r="AI274" t="s">
        <v>41</v>
      </c>
      <c r="AJ274" t="s">
        <v>41</v>
      </c>
      <c r="AK274">
        <v>1</v>
      </c>
      <c r="AL274" t="s">
        <v>1428</v>
      </c>
      <c r="AM274" t="s">
        <v>41</v>
      </c>
    </row>
    <row r="275" spans="1:39">
      <c r="A275" t="s">
        <v>653</v>
      </c>
      <c r="B275" t="s">
        <v>38</v>
      </c>
      <c r="C275">
        <v>2</v>
      </c>
      <c r="D275" t="s">
        <v>654</v>
      </c>
      <c r="E275" t="s">
        <v>655</v>
      </c>
      <c r="F275" t="s">
        <v>41</v>
      </c>
      <c r="G275" t="s">
        <v>656</v>
      </c>
      <c r="H275">
        <v>32</v>
      </c>
      <c r="I275">
        <v>125</v>
      </c>
      <c r="J275">
        <v>2000</v>
      </c>
      <c r="K275">
        <v>6200</v>
      </c>
      <c r="L275">
        <v>0</v>
      </c>
      <c r="M275">
        <v>0</v>
      </c>
      <c r="N275">
        <v>0</v>
      </c>
      <c r="O275">
        <v>57</v>
      </c>
      <c r="P275">
        <v>980</v>
      </c>
      <c r="Q275" s="5">
        <f>unitlist3[[#This Row],[health]]/unitlist3[[#This Row],[buildtime]]</f>
        <v>0.15806451612903225</v>
      </c>
      <c r="R275" s="5">
        <f>unitlist3[[#This Row],[dps]]/unitlist3[[#This Row],[metalcost]]</f>
        <v>0</v>
      </c>
      <c r="AA275">
        <v>0</v>
      </c>
      <c r="AB275">
        <v>0</v>
      </c>
      <c r="AE275">
        <v>2300</v>
      </c>
      <c r="AF275">
        <v>900</v>
      </c>
      <c r="AG275">
        <v>1350</v>
      </c>
      <c r="AH275" t="s">
        <v>48</v>
      </c>
      <c r="AI275" t="s">
        <v>41</v>
      </c>
      <c r="AJ275" t="s">
        <v>41</v>
      </c>
      <c r="AK275">
        <v>1</v>
      </c>
      <c r="AL275" t="s">
        <v>1430</v>
      </c>
      <c r="AM275" t="s">
        <v>41</v>
      </c>
    </row>
    <row r="276" spans="1:39" hidden="1">
      <c r="A276" t="s">
        <v>657</v>
      </c>
      <c r="B276" t="s">
        <v>38</v>
      </c>
      <c r="C276">
        <v>1</v>
      </c>
      <c r="D276" t="s">
        <v>658</v>
      </c>
      <c r="E276" t="s">
        <v>659</v>
      </c>
      <c r="F276" t="s">
        <v>41</v>
      </c>
      <c r="G276" t="s">
        <v>660</v>
      </c>
      <c r="H276">
        <v>29</v>
      </c>
      <c r="I276">
        <v>125</v>
      </c>
      <c r="J276">
        <v>7000</v>
      </c>
      <c r="K276">
        <v>9050</v>
      </c>
      <c r="L276">
        <v>0</v>
      </c>
      <c r="M276">
        <v>0</v>
      </c>
      <c r="N276">
        <v>0</v>
      </c>
      <c r="O276">
        <v>338</v>
      </c>
      <c r="P276">
        <v>580</v>
      </c>
      <c r="Q276" s="5">
        <f>unitlist3[[#This Row],[health]]/unitlist3[[#This Row],[buildtime]]</f>
        <v>6.4088397790055249E-2</v>
      </c>
      <c r="R276" s="5">
        <f>unitlist3[[#This Row],[dps]]/unitlist3[[#This Row],[metalcost]]</f>
        <v>0</v>
      </c>
      <c r="S276">
        <v>1</v>
      </c>
      <c r="U276">
        <v>1</v>
      </c>
      <c r="AA276">
        <v>0</v>
      </c>
      <c r="AB276">
        <v>0</v>
      </c>
      <c r="AD276">
        <v>900</v>
      </c>
      <c r="AE276">
        <v>2250</v>
      </c>
      <c r="AF276">
        <v>1100</v>
      </c>
      <c r="AG276">
        <v>1650</v>
      </c>
      <c r="AH276" t="s">
        <v>48</v>
      </c>
      <c r="AI276" t="s">
        <v>41</v>
      </c>
      <c r="AJ276" t="s">
        <v>41</v>
      </c>
      <c r="AK276">
        <v>1</v>
      </c>
      <c r="AL276" t="s">
        <v>1431</v>
      </c>
      <c r="AM276" t="s">
        <v>41</v>
      </c>
    </row>
    <row r="277" spans="1:39" hidden="1">
      <c r="A277" t="s">
        <v>673</v>
      </c>
      <c r="B277" t="s">
        <v>38</v>
      </c>
      <c r="C277">
        <v>3</v>
      </c>
      <c r="D277" t="s">
        <v>674</v>
      </c>
      <c r="E277" t="s">
        <v>675</v>
      </c>
      <c r="F277" t="s">
        <v>41</v>
      </c>
      <c r="G277" t="s">
        <v>676</v>
      </c>
      <c r="H277">
        <v>108</v>
      </c>
      <c r="I277">
        <v>7900</v>
      </c>
      <c r="J277">
        <v>58000</v>
      </c>
      <c r="K277">
        <v>61400</v>
      </c>
      <c r="L277">
        <v>0</v>
      </c>
      <c r="M277">
        <v>0</v>
      </c>
      <c r="N277">
        <v>600</v>
      </c>
      <c r="O277">
        <v>0</v>
      </c>
      <c r="P277">
        <v>16000</v>
      </c>
      <c r="Q277" s="5">
        <f>unitlist3[[#This Row],[health]]/unitlist3[[#This Row],[buildtime]]</f>
        <v>0.26058631921824105</v>
      </c>
      <c r="R277" s="5">
        <f>unitlist3[[#This Row],[dps]]/unitlist3[[#This Row],[metalcost]]</f>
        <v>0</v>
      </c>
      <c r="Z277">
        <v>1</v>
      </c>
      <c r="AA277">
        <v>0</v>
      </c>
      <c r="AB277">
        <v>0</v>
      </c>
      <c r="AF277">
        <v>273</v>
      </c>
      <c r="AG277">
        <v>410</v>
      </c>
      <c r="AH277" t="s">
        <v>41</v>
      </c>
      <c r="AI277" t="s">
        <v>41</v>
      </c>
      <c r="AJ277" t="s">
        <v>677</v>
      </c>
      <c r="AK277">
        <v>1</v>
      </c>
      <c r="AL277" t="s">
        <v>1436</v>
      </c>
      <c r="AM277" t="s">
        <v>41</v>
      </c>
    </row>
    <row r="278" spans="1:39" hidden="1">
      <c r="A278" t="s">
        <v>678</v>
      </c>
      <c r="B278" t="s">
        <v>38</v>
      </c>
      <c r="C278">
        <v>3</v>
      </c>
      <c r="D278" t="s">
        <v>674</v>
      </c>
      <c r="E278" t="s">
        <v>679</v>
      </c>
      <c r="F278" t="s">
        <v>41</v>
      </c>
      <c r="G278" t="s">
        <v>680</v>
      </c>
      <c r="H278">
        <v>108</v>
      </c>
      <c r="I278">
        <v>7900</v>
      </c>
      <c r="J278">
        <v>58000</v>
      </c>
      <c r="K278">
        <v>61400</v>
      </c>
      <c r="L278">
        <v>0</v>
      </c>
      <c r="M278">
        <v>0</v>
      </c>
      <c r="N278">
        <v>600</v>
      </c>
      <c r="O278">
        <v>0</v>
      </c>
      <c r="P278">
        <v>16000</v>
      </c>
      <c r="Q278" s="5">
        <f>unitlist3[[#This Row],[health]]/unitlist3[[#This Row],[buildtime]]</f>
        <v>0.26058631921824105</v>
      </c>
      <c r="R278" s="5">
        <f>unitlist3[[#This Row],[dps]]/unitlist3[[#This Row],[metalcost]]</f>
        <v>0</v>
      </c>
      <c r="T278">
        <v>1</v>
      </c>
      <c r="Z278">
        <v>1</v>
      </c>
      <c r="AA278">
        <v>0</v>
      </c>
      <c r="AB278">
        <v>0</v>
      </c>
      <c r="AF278">
        <v>273</v>
      </c>
      <c r="AG278">
        <v>410</v>
      </c>
      <c r="AH278" t="s">
        <v>41</v>
      </c>
      <c r="AI278" t="s">
        <v>41</v>
      </c>
      <c r="AJ278" t="s">
        <v>681</v>
      </c>
      <c r="AK278">
        <v>1</v>
      </c>
      <c r="AL278" t="s">
        <v>1437</v>
      </c>
      <c r="AM278" t="s">
        <v>41</v>
      </c>
    </row>
    <row r="279" spans="1:39" hidden="1">
      <c r="A279" t="s">
        <v>687</v>
      </c>
      <c r="B279" t="s">
        <v>38</v>
      </c>
      <c r="C279">
        <v>2</v>
      </c>
      <c r="D279" t="s">
        <v>688</v>
      </c>
      <c r="E279" t="s">
        <v>689</v>
      </c>
      <c r="F279" t="s">
        <v>41</v>
      </c>
      <c r="G279" t="s">
        <v>690</v>
      </c>
      <c r="H279">
        <v>27</v>
      </c>
      <c r="I279">
        <v>110</v>
      </c>
      <c r="J279">
        <v>1600</v>
      </c>
      <c r="K279">
        <v>6040</v>
      </c>
      <c r="L279">
        <v>0</v>
      </c>
      <c r="M279">
        <v>0</v>
      </c>
      <c r="N279">
        <v>0</v>
      </c>
      <c r="O279">
        <v>66</v>
      </c>
      <c r="P279">
        <v>570</v>
      </c>
      <c r="Q279" s="5">
        <f>unitlist3[[#This Row],[health]]/unitlist3[[#This Row],[buildtime]]</f>
        <v>9.4370860927152314E-2</v>
      </c>
      <c r="R279" s="5">
        <f>unitlist3[[#This Row],[dps]]/unitlist3[[#This Row],[metalcost]]</f>
        <v>0</v>
      </c>
      <c r="W279">
        <v>1</v>
      </c>
      <c r="AA279">
        <v>0</v>
      </c>
      <c r="AB279">
        <v>0</v>
      </c>
      <c r="AC279">
        <v>980</v>
      </c>
      <c r="AF279">
        <v>390</v>
      </c>
      <c r="AG279">
        <v>585</v>
      </c>
      <c r="AH279" t="s">
        <v>148</v>
      </c>
      <c r="AI279" t="s">
        <v>41</v>
      </c>
      <c r="AJ279" t="s">
        <v>41</v>
      </c>
      <c r="AK279">
        <v>1</v>
      </c>
      <c r="AL279" t="s">
        <v>1439</v>
      </c>
      <c r="AM279" t="s">
        <v>41</v>
      </c>
    </row>
    <row r="280" spans="1:39" hidden="1">
      <c r="A280" t="s">
        <v>695</v>
      </c>
      <c r="B280" t="s">
        <v>38</v>
      </c>
      <c r="C280">
        <v>1</v>
      </c>
      <c r="D280" t="s">
        <v>696</v>
      </c>
      <c r="E280" t="s">
        <v>697</v>
      </c>
      <c r="F280" t="s">
        <v>41</v>
      </c>
      <c r="G280" t="s">
        <v>698</v>
      </c>
      <c r="H280">
        <v>43</v>
      </c>
      <c r="I280">
        <v>155</v>
      </c>
      <c r="J280">
        <v>0</v>
      </c>
      <c r="K280">
        <v>2800</v>
      </c>
      <c r="L280">
        <v>0</v>
      </c>
      <c r="M280">
        <v>0</v>
      </c>
      <c r="N280">
        <v>0</v>
      </c>
      <c r="O280">
        <v>0</v>
      </c>
      <c r="P280">
        <v>340</v>
      </c>
      <c r="Q280" s="5">
        <f>unitlist3[[#This Row],[health]]/unitlist3[[#This Row],[buildtime]]</f>
        <v>0.12142857142857143</v>
      </c>
      <c r="R280" s="5">
        <f>unitlist3[[#This Row],[dps]]/unitlist3[[#This Row],[metalcost]]</f>
        <v>0</v>
      </c>
      <c r="Z280">
        <v>1</v>
      </c>
      <c r="AA280">
        <v>0</v>
      </c>
      <c r="AB280">
        <v>0</v>
      </c>
      <c r="AF280">
        <v>273</v>
      </c>
      <c r="AG280">
        <v>410</v>
      </c>
      <c r="AH280" t="s">
        <v>41</v>
      </c>
      <c r="AI280" t="s">
        <v>41</v>
      </c>
      <c r="AJ280" t="s">
        <v>41</v>
      </c>
      <c r="AK280">
        <v>1</v>
      </c>
      <c r="AL280" t="s">
        <v>1441</v>
      </c>
      <c r="AM280" t="s">
        <v>41</v>
      </c>
    </row>
    <row r="281" spans="1:39">
      <c r="A281" t="s">
        <v>699</v>
      </c>
      <c r="B281" t="s">
        <v>38</v>
      </c>
      <c r="C281">
        <v>2</v>
      </c>
      <c r="D281" t="s">
        <v>700</v>
      </c>
      <c r="E281" t="s">
        <v>701</v>
      </c>
      <c r="F281" t="s">
        <v>41</v>
      </c>
      <c r="G281" t="s">
        <v>702</v>
      </c>
      <c r="H281">
        <v>13</v>
      </c>
      <c r="I281">
        <v>250</v>
      </c>
      <c r="J281">
        <v>5000</v>
      </c>
      <c r="K281">
        <v>5100</v>
      </c>
      <c r="L281">
        <v>0</v>
      </c>
      <c r="M281">
        <v>0</v>
      </c>
      <c r="N281">
        <v>150</v>
      </c>
      <c r="O281">
        <v>72</v>
      </c>
      <c r="P281">
        <v>1110</v>
      </c>
      <c r="Q281" s="5">
        <f>unitlist3[[#This Row],[health]]/unitlist3[[#This Row],[buildtime]]</f>
        <v>0.21764705882352942</v>
      </c>
      <c r="R281" s="5">
        <f>unitlist3[[#This Row],[dps]]/unitlist3[[#This Row],[metalcost]]</f>
        <v>0</v>
      </c>
      <c r="AA281">
        <v>0</v>
      </c>
      <c r="AB281">
        <v>280</v>
      </c>
      <c r="AF281">
        <v>550</v>
      </c>
      <c r="AG281">
        <v>825</v>
      </c>
      <c r="AH281" t="s">
        <v>424</v>
      </c>
      <c r="AI281" t="s">
        <v>287</v>
      </c>
      <c r="AJ281" t="s">
        <v>41</v>
      </c>
      <c r="AK281">
        <v>1</v>
      </c>
      <c r="AL281" t="s">
        <v>1442</v>
      </c>
      <c r="AM281" t="s">
        <v>41</v>
      </c>
    </row>
    <row r="282" spans="1:39">
      <c r="A282" t="s">
        <v>707</v>
      </c>
      <c r="B282" t="s">
        <v>38</v>
      </c>
      <c r="C282">
        <v>2</v>
      </c>
      <c r="D282" t="s">
        <v>708</v>
      </c>
      <c r="E282" t="s">
        <v>709</v>
      </c>
      <c r="F282" t="s">
        <v>41</v>
      </c>
      <c r="G282" t="s">
        <v>710</v>
      </c>
      <c r="H282">
        <v>33</v>
      </c>
      <c r="I282">
        <v>135</v>
      </c>
      <c r="J282">
        <v>8800</v>
      </c>
      <c r="K282">
        <v>17600</v>
      </c>
      <c r="L282">
        <v>0</v>
      </c>
      <c r="M282">
        <v>0</v>
      </c>
      <c r="N282">
        <v>50</v>
      </c>
      <c r="O282">
        <v>65</v>
      </c>
      <c r="P282">
        <v>300</v>
      </c>
      <c r="Q282" s="5">
        <f>unitlist3[[#This Row],[health]]/unitlist3[[#This Row],[buildtime]]</f>
        <v>1.7045454545454544E-2</v>
      </c>
      <c r="R282" s="5">
        <f>unitlist3[[#This Row],[dps]]/unitlist3[[#This Row],[metalcost]]</f>
        <v>0</v>
      </c>
      <c r="AA282">
        <v>0</v>
      </c>
      <c r="AB282">
        <v>0</v>
      </c>
      <c r="AF282">
        <v>550</v>
      </c>
      <c r="AG282">
        <v>825</v>
      </c>
      <c r="AH282" t="s">
        <v>377</v>
      </c>
      <c r="AI282" t="s">
        <v>41</v>
      </c>
      <c r="AJ282" t="s">
        <v>41</v>
      </c>
      <c r="AK282">
        <v>1</v>
      </c>
      <c r="AL282" t="s">
        <v>1444</v>
      </c>
      <c r="AM282" t="s">
        <v>41</v>
      </c>
    </row>
    <row r="283" spans="1:39" hidden="1">
      <c r="A283" t="s">
        <v>711</v>
      </c>
      <c r="B283" t="s">
        <v>38</v>
      </c>
      <c r="C283">
        <v>2</v>
      </c>
      <c r="D283" t="s">
        <v>712</v>
      </c>
      <c r="E283" t="s">
        <v>713</v>
      </c>
      <c r="F283" t="s">
        <v>41</v>
      </c>
      <c r="G283" t="s">
        <v>714</v>
      </c>
      <c r="H283">
        <v>23</v>
      </c>
      <c r="I283">
        <v>460</v>
      </c>
      <c r="J283">
        <v>38000</v>
      </c>
      <c r="K283">
        <v>32000</v>
      </c>
      <c r="L283">
        <v>0</v>
      </c>
      <c r="M283">
        <v>0</v>
      </c>
      <c r="N283">
        <v>0</v>
      </c>
      <c r="O283">
        <v>300</v>
      </c>
      <c r="P283">
        <v>1880</v>
      </c>
      <c r="Q283" s="5">
        <f>unitlist3[[#This Row],[health]]/unitlist3[[#This Row],[buildtime]]</f>
        <v>5.8749999999999997E-2</v>
      </c>
      <c r="R283" s="5">
        <f>unitlist3[[#This Row],[dps]]/unitlist3[[#This Row],[metalcost]]</f>
        <v>0</v>
      </c>
      <c r="U283">
        <v>1</v>
      </c>
      <c r="AA283">
        <v>0</v>
      </c>
      <c r="AB283">
        <v>1280</v>
      </c>
      <c r="AF283">
        <v>390</v>
      </c>
      <c r="AG283">
        <v>585</v>
      </c>
      <c r="AH283" t="s">
        <v>424</v>
      </c>
      <c r="AI283" t="s">
        <v>715</v>
      </c>
      <c r="AJ283" t="s">
        <v>41</v>
      </c>
      <c r="AK283">
        <v>1</v>
      </c>
      <c r="AL283" t="s">
        <v>1445</v>
      </c>
      <c r="AM283" t="s">
        <v>41</v>
      </c>
    </row>
    <row r="284" spans="1:39" hidden="1">
      <c r="A284" t="s">
        <v>727</v>
      </c>
      <c r="B284" t="s">
        <v>38</v>
      </c>
      <c r="C284">
        <v>1</v>
      </c>
      <c r="D284" t="s">
        <v>728</v>
      </c>
      <c r="E284" t="s">
        <v>729</v>
      </c>
      <c r="F284" t="s">
        <v>41</v>
      </c>
      <c r="G284" t="s">
        <v>730</v>
      </c>
      <c r="H284">
        <v>52</v>
      </c>
      <c r="I284">
        <v>600</v>
      </c>
      <c r="J284">
        <v>1200</v>
      </c>
      <c r="K284">
        <v>6660</v>
      </c>
      <c r="L284">
        <v>0</v>
      </c>
      <c r="M284">
        <v>0</v>
      </c>
      <c r="N284">
        <v>165</v>
      </c>
      <c r="O284">
        <v>0</v>
      </c>
      <c r="P284">
        <v>4100</v>
      </c>
      <c r="Q284" s="5">
        <f>unitlist3[[#This Row],[health]]/unitlist3[[#This Row],[buildtime]]</f>
        <v>0.61561561561561562</v>
      </c>
      <c r="R284" s="5">
        <f>unitlist3[[#This Row],[dps]]/unitlist3[[#This Row],[metalcost]]</f>
        <v>0</v>
      </c>
      <c r="Z284">
        <v>1</v>
      </c>
      <c r="AA284">
        <v>0</v>
      </c>
      <c r="AB284">
        <v>0</v>
      </c>
      <c r="AF284">
        <v>340</v>
      </c>
      <c r="AG284">
        <v>510</v>
      </c>
      <c r="AH284" t="s">
        <v>41</v>
      </c>
      <c r="AI284" t="s">
        <v>41</v>
      </c>
      <c r="AJ284" t="s">
        <v>731</v>
      </c>
      <c r="AK284">
        <v>1</v>
      </c>
      <c r="AL284" t="s">
        <v>1449</v>
      </c>
      <c r="AM284" t="s">
        <v>41</v>
      </c>
    </row>
    <row r="285" spans="1:39" hidden="1">
      <c r="A285" t="s">
        <v>732</v>
      </c>
      <c r="B285" t="s">
        <v>38</v>
      </c>
      <c r="C285">
        <v>2</v>
      </c>
      <c r="D285" t="s">
        <v>733</v>
      </c>
      <c r="E285" t="s">
        <v>734</v>
      </c>
      <c r="F285" t="s">
        <v>41</v>
      </c>
      <c r="G285" t="s">
        <v>326</v>
      </c>
      <c r="H285">
        <v>147</v>
      </c>
      <c r="I285">
        <v>810</v>
      </c>
      <c r="J285">
        <v>7200</v>
      </c>
      <c r="K285">
        <v>8700</v>
      </c>
      <c r="L285">
        <v>0</v>
      </c>
      <c r="M285">
        <v>0</v>
      </c>
      <c r="N285">
        <v>0</v>
      </c>
      <c r="O285">
        <v>0</v>
      </c>
      <c r="P285">
        <v>2100</v>
      </c>
      <c r="Q285" s="5">
        <f>unitlist3[[#This Row],[health]]/unitlist3[[#This Row],[buildtime]]</f>
        <v>0.2413793103448276</v>
      </c>
      <c r="R285" s="5">
        <f>unitlist3[[#This Row],[dps]]/unitlist3[[#This Row],[metalcost]]</f>
        <v>0</v>
      </c>
      <c r="Z285">
        <v>1</v>
      </c>
      <c r="AA285">
        <v>0</v>
      </c>
      <c r="AB285">
        <v>0</v>
      </c>
      <c r="AF285">
        <v>273</v>
      </c>
      <c r="AG285">
        <v>410</v>
      </c>
      <c r="AH285" t="s">
        <v>41</v>
      </c>
      <c r="AI285" t="s">
        <v>41</v>
      </c>
      <c r="AJ285" t="s">
        <v>41</v>
      </c>
      <c r="AK285">
        <v>1</v>
      </c>
      <c r="AL285" t="s">
        <v>1450</v>
      </c>
      <c r="AM285" t="s">
        <v>41</v>
      </c>
    </row>
    <row r="286" spans="1:39" hidden="1">
      <c r="A286" t="s">
        <v>743</v>
      </c>
      <c r="B286" t="s">
        <v>38</v>
      </c>
      <c r="C286">
        <v>1</v>
      </c>
      <c r="D286" t="s">
        <v>744</v>
      </c>
      <c r="E286" t="s">
        <v>745</v>
      </c>
      <c r="F286" t="s">
        <v>41</v>
      </c>
      <c r="G286" t="s">
        <v>698</v>
      </c>
      <c r="H286">
        <v>15</v>
      </c>
      <c r="I286">
        <v>90</v>
      </c>
      <c r="J286">
        <v>250</v>
      </c>
      <c r="K286">
        <v>2190</v>
      </c>
      <c r="L286">
        <v>0</v>
      </c>
      <c r="M286">
        <v>0</v>
      </c>
      <c r="N286">
        <v>0</v>
      </c>
      <c r="O286">
        <v>0</v>
      </c>
      <c r="P286">
        <v>400</v>
      </c>
      <c r="Q286" s="5">
        <f>unitlist3[[#This Row],[health]]/unitlist3[[#This Row],[buildtime]]</f>
        <v>0.18264840182648401</v>
      </c>
      <c r="R286" s="5">
        <f>unitlist3[[#This Row],[dps]]/unitlist3[[#This Row],[metalcost]]</f>
        <v>0</v>
      </c>
      <c r="Z286">
        <v>1</v>
      </c>
      <c r="AA286">
        <v>0</v>
      </c>
      <c r="AB286">
        <v>0</v>
      </c>
      <c r="AF286">
        <v>130</v>
      </c>
      <c r="AG286">
        <v>195</v>
      </c>
      <c r="AH286" t="s">
        <v>41</v>
      </c>
      <c r="AI286" t="s">
        <v>41</v>
      </c>
      <c r="AJ286" t="s">
        <v>41</v>
      </c>
      <c r="AK286">
        <v>1</v>
      </c>
      <c r="AL286" t="s">
        <v>1453</v>
      </c>
      <c r="AM286" t="s">
        <v>41</v>
      </c>
    </row>
    <row r="287" spans="1:39" hidden="1">
      <c r="A287" t="s">
        <v>748</v>
      </c>
      <c r="B287" t="s">
        <v>38</v>
      </c>
      <c r="C287">
        <v>2</v>
      </c>
      <c r="D287" t="s">
        <v>749</v>
      </c>
      <c r="E287" t="s">
        <v>750</v>
      </c>
      <c r="F287" t="s">
        <v>41</v>
      </c>
      <c r="G287" t="s">
        <v>751</v>
      </c>
      <c r="H287">
        <v>41</v>
      </c>
      <c r="I287">
        <v>830</v>
      </c>
      <c r="J287">
        <v>10000</v>
      </c>
      <c r="K287">
        <v>20300</v>
      </c>
      <c r="L287">
        <v>0</v>
      </c>
      <c r="M287">
        <v>0</v>
      </c>
      <c r="N287">
        <v>0</v>
      </c>
      <c r="O287">
        <v>0</v>
      </c>
      <c r="P287">
        <v>11700</v>
      </c>
      <c r="Q287" s="5">
        <f>unitlist3[[#This Row],[health]]/unitlist3[[#This Row],[buildtime]]</f>
        <v>0.57635467980295563</v>
      </c>
      <c r="R287" s="5">
        <f>unitlist3[[#This Row],[dps]]/unitlist3[[#This Row],[metalcost]]</f>
        <v>0</v>
      </c>
      <c r="S287">
        <v>1</v>
      </c>
      <c r="Z287">
        <v>1</v>
      </c>
      <c r="AA287">
        <v>0</v>
      </c>
      <c r="AB287">
        <v>0</v>
      </c>
      <c r="AF287">
        <v>169</v>
      </c>
      <c r="AG287">
        <v>254</v>
      </c>
      <c r="AH287" t="s">
        <v>41</v>
      </c>
      <c r="AI287" t="s">
        <v>41</v>
      </c>
      <c r="AJ287" t="s">
        <v>41</v>
      </c>
      <c r="AK287">
        <v>1</v>
      </c>
      <c r="AL287" t="s">
        <v>1455</v>
      </c>
      <c r="AM287" t="s">
        <v>41</v>
      </c>
    </row>
    <row r="288" spans="1:39" hidden="1">
      <c r="A288" t="s">
        <v>752</v>
      </c>
      <c r="B288" t="s">
        <v>38</v>
      </c>
      <c r="C288">
        <v>2</v>
      </c>
      <c r="D288" t="s">
        <v>753</v>
      </c>
      <c r="E288" t="s">
        <v>754</v>
      </c>
      <c r="F288" t="s">
        <v>41</v>
      </c>
      <c r="G288" t="s">
        <v>755</v>
      </c>
      <c r="H288">
        <v>28</v>
      </c>
      <c r="I288">
        <v>750</v>
      </c>
      <c r="J288">
        <v>11500</v>
      </c>
      <c r="K288">
        <v>20400</v>
      </c>
      <c r="L288">
        <v>0</v>
      </c>
      <c r="M288">
        <v>0</v>
      </c>
      <c r="N288">
        <v>0</v>
      </c>
      <c r="O288">
        <v>0</v>
      </c>
      <c r="P288">
        <v>10300</v>
      </c>
      <c r="Q288" s="5">
        <f>unitlist3[[#This Row],[health]]/unitlist3[[#This Row],[buildtime]]</f>
        <v>0.50490196078431371</v>
      </c>
      <c r="R288" s="5">
        <f>unitlist3[[#This Row],[dps]]/unitlist3[[#This Row],[metalcost]]</f>
        <v>0</v>
      </c>
      <c r="S288">
        <v>1</v>
      </c>
      <c r="Z288">
        <v>1</v>
      </c>
      <c r="AA288">
        <v>0</v>
      </c>
      <c r="AB288">
        <v>0</v>
      </c>
      <c r="AF288">
        <v>195</v>
      </c>
      <c r="AG288">
        <v>293</v>
      </c>
      <c r="AH288" t="s">
        <v>41</v>
      </c>
      <c r="AI288" t="s">
        <v>41</v>
      </c>
      <c r="AJ288" t="s">
        <v>41</v>
      </c>
      <c r="AK288">
        <v>1</v>
      </c>
      <c r="AL288" t="s">
        <v>1456</v>
      </c>
      <c r="AM288" t="s">
        <v>41</v>
      </c>
    </row>
    <row r="289" spans="1:39" hidden="1">
      <c r="A289" t="s">
        <v>756</v>
      </c>
      <c r="B289" t="s">
        <v>38</v>
      </c>
      <c r="C289">
        <v>2</v>
      </c>
      <c r="D289" t="s">
        <v>81</v>
      </c>
      <c r="E289" t="s">
        <v>82</v>
      </c>
      <c r="F289" t="s">
        <v>41</v>
      </c>
      <c r="G289" t="s">
        <v>83</v>
      </c>
      <c r="H289">
        <v>57</v>
      </c>
      <c r="I289">
        <v>1600</v>
      </c>
      <c r="J289">
        <v>27000</v>
      </c>
      <c r="K289">
        <v>33300</v>
      </c>
      <c r="L289">
        <v>0</v>
      </c>
      <c r="M289">
        <v>1250</v>
      </c>
      <c r="N289">
        <v>0</v>
      </c>
      <c r="O289">
        <v>0</v>
      </c>
      <c r="P289">
        <v>3600</v>
      </c>
      <c r="Q289" s="5">
        <f>unitlist3[[#This Row],[health]]/unitlist3[[#This Row],[buildtime]]</f>
        <v>0.10810810810810811</v>
      </c>
      <c r="R289" s="5">
        <f>unitlist3[[#This Row],[dps]]/unitlist3[[#This Row],[metalcost]]</f>
        <v>0</v>
      </c>
      <c r="T289">
        <v>1</v>
      </c>
      <c r="Z289">
        <v>1</v>
      </c>
      <c r="AA289">
        <v>0</v>
      </c>
      <c r="AB289">
        <v>0</v>
      </c>
      <c r="AF289">
        <v>273</v>
      </c>
      <c r="AG289">
        <v>410</v>
      </c>
      <c r="AH289" t="s">
        <v>41</v>
      </c>
      <c r="AI289" t="s">
        <v>41</v>
      </c>
      <c r="AJ289" t="s">
        <v>41</v>
      </c>
      <c r="AK289">
        <v>1</v>
      </c>
      <c r="AL289" t="s">
        <v>1457</v>
      </c>
      <c r="AM289" t="s">
        <v>41</v>
      </c>
    </row>
    <row r="290" spans="1:39" hidden="1">
      <c r="A290" t="s">
        <v>757</v>
      </c>
      <c r="B290" t="s">
        <v>38</v>
      </c>
      <c r="C290">
        <v>1</v>
      </c>
      <c r="D290" t="s">
        <v>758</v>
      </c>
      <c r="E290" t="s">
        <v>307</v>
      </c>
      <c r="F290" t="s">
        <v>41</v>
      </c>
      <c r="G290" t="s">
        <v>308</v>
      </c>
      <c r="H290">
        <v>50</v>
      </c>
      <c r="I290">
        <v>170</v>
      </c>
      <c r="J290">
        <v>1700</v>
      </c>
      <c r="K290">
        <v>4110</v>
      </c>
      <c r="L290">
        <v>0</v>
      </c>
      <c r="M290">
        <v>0</v>
      </c>
      <c r="N290">
        <v>0</v>
      </c>
      <c r="O290">
        <v>0</v>
      </c>
      <c r="P290">
        <v>1890</v>
      </c>
      <c r="Q290" s="5">
        <f>unitlist3[[#This Row],[health]]/unitlist3[[#This Row],[buildtime]]</f>
        <v>0.45985401459854014</v>
      </c>
      <c r="R290" s="5">
        <f>unitlist3[[#This Row],[dps]]/unitlist3[[#This Row],[metalcost]]</f>
        <v>0</v>
      </c>
      <c r="T290">
        <v>1</v>
      </c>
      <c r="Z290">
        <v>1</v>
      </c>
      <c r="AA290">
        <v>0</v>
      </c>
      <c r="AB290">
        <v>0</v>
      </c>
      <c r="AF290">
        <v>182</v>
      </c>
      <c r="AG290">
        <v>273</v>
      </c>
      <c r="AH290" t="s">
        <v>41</v>
      </c>
      <c r="AI290" t="s">
        <v>41</v>
      </c>
      <c r="AJ290" t="s">
        <v>41</v>
      </c>
      <c r="AK290">
        <v>1</v>
      </c>
      <c r="AL290" t="s">
        <v>1458</v>
      </c>
      <c r="AM290" t="s">
        <v>41</v>
      </c>
    </row>
    <row r="291" spans="1:39" hidden="1">
      <c r="A291" t="s">
        <v>759</v>
      </c>
      <c r="B291" t="s">
        <v>38</v>
      </c>
      <c r="C291">
        <v>2</v>
      </c>
      <c r="D291" t="s">
        <v>760</v>
      </c>
      <c r="E291" t="s">
        <v>761</v>
      </c>
      <c r="F291" t="s">
        <v>41</v>
      </c>
      <c r="G291" t="s">
        <v>234</v>
      </c>
      <c r="H291">
        <v>50</v>
      </c>
      <c r="I291">
        <v>5200</v>
      </c>
      <c r="J291">
        <v>33500</v>
      </c>
      <c r="K291">
        <v>99900</v>
      </c>
      <c r="L291">
        <v>0</v>
      </c>
      <c r="M291">
        <v>1200</v>
      </c>
      <c r="N291">
        <v>0</v>
      </c>
      <c r="O291">
        <v>0</v>
      </c>
      <c r="P291">
        <v>5600</v>
      </c>
      <c r="Q291" s="5">
        <f>unitlist3[[#This Row],[health]]/unitlist3[[#This Row],[buildtime]]</f>
        <v>5.6056056056056056E-2</v>
      </c>
      <c r="R291" s="5">
        <f>unitlist3[[#This Row],[dps]]/unitlist3[[#This Row],[metalcost]]</f>
        <v>0</v>
      </c>
      <c r="T291">
        <v>1</v>
      </c>
      <c r="Z291">
        <v>1</v>
      </c>
      <c r="AA291">
        <v>0</v>
      </c>
      <c r="AB291">
        <v>0</v>
      </c>
      <c r="AF291">
        <v>143</v>
      </c>
      <c r="AG291">
        <v>215</v>
      </c>
      <c r="AH291" t="s">
        <v>41</v>
      </c>
      <c r="AI291" t="s">
        <v>41</v>
      </c>
      <c r="AJ291" t="s">
        <v>41</v>
      </c>
      <c r="AK291">
        <v>1</v>
      </c>
      <c r="AL291" t="s">
        <v>1459</v>
      </c>
      <c r="AM291" t="s">
        <v>41</v>
      </c>
    </row>
    <row r="292" spans="1:39" hidden="1">
      <c r="A292" t="s">
        <v>762</v>
      </c>
      <c r="B292" t="s">
        <v>38</v>
      </c>
      <c r="C292">
        <v>1</v>
      </c>
      <c r="D292" t="s">
        <v>401</v>
      </c>
      <c r="E292" t="s">
        <v>402</v>
      </c>
      <c r="F292" t="s">
        <v>41</v>
      </c>
      <c r="G292" t="s">
        <v>403</v>
      </c>
      <c r="H292">
        <v>50</v>
      </c>
      <c r="I292">
        <v>560</v>
      </c>
      <c r="J292">
        <v>13000</v>
      </c>
      <c r="K292">
        <v>13100</v>
      </c>
      <c r="L292">
        <v>0</v>
      </c>
      <c r="M292">
        <v>300</v>
      </c>
      <c r="N292">
        <v>0</v>
      </c>
      <c r="O292">
        <v>0</v>
      </c>
      <c r="P292">
        <v>1940</v>
      </c>
      <c r="Q292" s="5">
        <f>unitlist3[[#This Row],[health]]/unitlist3[[#This Row],[buildtime]]</f>
        <v>0.14809160305343511</v>
      </c>
      <c r="R292" s="5">
        <f>unitlist3[[#This Row],[dps]]/unitlist3[[#This Row],[metalcost]]</f>
        <v>0</v>
      </c>
      <c r="Z292">
        <v>1</v>
      </c>
      <c r="AA292">
        <v>0</v>
      </c>
      <c r="AB292">
        <v>0</v>
      </c>
      <c r="AF292">
        <v>273</v>
      </c>
      <c r="AG292">
        <v>410</v>
      </c>
      <c r="AH292" t="s">
        <v>41</v>
      </c>
      <c r="AI292" t="s">
        <v>41</v>
      </c>
      <c r="AJ292" t="s">
        <v>41</v>
      </c>
      <c r="AK292">
        <v>1</v>
      </c>
      <c r="AL292" t="s">
        <v>1460</v>
      </c>
      <c r="AM292" t="s">
        <v>41</v>
      </c>
    </row>
    <row r="293" spans="1:39" hidden="1">
      <c r="A293" t="s">
        <v>763</v>
      </c>
      <c r="B293" t="s">
        <v>38</v>
      </c>
      <c r="C293">
        <v>2</v>
      </c>
      <c r="D293" t="s">
        <v>764</v>
      </c>
      <c r="E293" t="s">
        <v>550</v>
      </c>
      <c r="F293" t="s">
        <v>41</v>
      </c>
      <c r="G293" t="s">
        <v>551</v>
      </c>
      <c r="H293">
        <v>68</v>
      </c>
      <c r="I293">
        <v>620</v>
      </c>
      <c r="J293">
        <v>7700</v>
      </c>
      <c r="K293">
        <v>14900</v>
      </c>
      <c r="L293">
        <v>0</v>
      </c>
      <c r="M293">
        <v>0</v>
      </c>
      <c r="N293">
        <v>0</v>
      </c>
      <c r="O293">
        <v>0</v>
      </c>
      <c r="P293">
        <v>2800</v>
      </c>
      <c r="Q293" s="5">
        <f>unitlist3[[#This Row],[health]]/unitlist3[[#This Row],[buildtime]]</f>
        <v>0.18791946308724833</v>
      </c>
      <c r="R293" s="5">
        <f>unitlist3[[#This Row],[dps]]/unitlist3[[#This Row],[metalcost]]</f>
        <v>0</v>
      </c>
      <c r="T293">
        <v>1</v>
      </c>
      <c r="Z293">
        <v>1</v>
      </c>
      <c r="AA293">
        <v>0</v>
      </c>
      <c r="AB293">
        <v>0</v>
      </c>
      <c r="AF293">
        <v>182</v>
      </c>
      <c r="AG293">
        <v>273</v>
      </c>
      <c r="AH293" t="s">
        <v>41</v>
      </c>
      <c r="AI293" t="s">
        <v>41</v>
      </c>
      <c r="AJ293" t="s">
        <v>41</v>
      </c>
      <c r="AK293">
        <v>1</v>
      </c>
      <c r="AL293" t="s">
        <v>1461</v>
      </c>
      <c r="AM293" t="s">
        <v>41</v>
      </c>
    </row>
    <row r="294" spans="1:39" hidden="1">
      <c r="A294" t="s">
        <v>765</v>
      </c>
      <c r="B294" t="s">
        <v>38</v>
      </c>
      <c r="C294">
        <v>2</v>
      </c>
      <c r="D294" t="s">
        <v>766</v>
      </c>
      <c r="E294" t="s">
        <v>546</v>
      </c>
      <c r="F294" t="s">
        <v>41</v>
      </c>
      <c r="G294" t="s">
        <v>547</v>
      </c>
      <c r="H294">
        <v>33</v>
      </c>
      <c r="I294">
        <v>380</v>
      </c>
      <c r="J294">
        <v>21000</v>
      </c>
      <c r="K294">
        <v>35000</v>
      </c>
      <c r="L294">
        <v>0</v>
      </c>
      <c r="M294">
        <v>0</v>
      </c>
      <c r="N294">
        <v>0</v>
      </c>
      <c r="O294">
        <v>0</v>
      </c>
      <c r="P294">
        <v>445</v>
      </c>
      <c r="Q294" s="5">
        <f>unitlist3[[#This Row],[health]]/unitlist3[[#This Row],[buildtime]]</f>
        <v>1.2714285714285714E-2</v>
      </c>
      <c r="R294" s="5">
        <f>unitlist3[[#This Row],[dps]]/unitlist3[[#This Row],[metalcost]]</f>
        <v>0</v>
      </c>
      <c r="Z294">
        <v>1</v>
      </c>
      <c r="AA294">
        <v>0</v>
      </c>
      <c r="AB294">
        <v>0</v>
      </c>
      <c r="AF294">
        <v>156</v>
      </c>
      <c r="AG294">
        <v>234</v>
      </c>
      <c r="AH294" t="s">
        <v>41</v>
      </c>
      <c r="AI294" t="s">
        <v>41</v>
      </c>
      <c r="AJ294" t="s">
        <v>41</v>
      </c>
      <c r="AK294">
        <v>1</v>
      </c>
      <c r="AL294" t="s">
        <v>1462</v>
      </c>
      <c r="AM294" t="s">
        <v>41</v>
      </c>
    </row>
    <row r="295" spans="1:39" hidden="1">
      <c r="A295" t="s">
        <v>767</v>
      </c>
      <c r="B295" t="s">
        <v>38</v>
      </c>
      <c r="C295">
        <v>1</v>
      </c>
      <c r="D295" t="s">
        <v>768</v>
      </c>
      <c r="E295" t="s">
        <v>558</v>
      </c>
      <c r="F295" t="s">
        <v>41</v>
      </c>
      <c r="G295" t="s">
        <v>559</v>
      </c>
      <c r="H295">
        <v>25</v>
      </c>
      <c r="I295">
        <v>330</v>
      </c>
      <c r="J295">
        <v>570</v>
      </c>
      <c r="K295">
        <v>2920</v>
      </c>
      <c r="L295">
        <v>0</v>
      </c>
      <c r="M295">
        <v>0</v>
      </c>
      <c r="N295">
        <v>0</v>
      </c>
      <c r="O295">
        <v>0</v>
      </c>
      <c r="P295">
        <v>3600</v>
      </c>
      <c r="Q295" s="5">
        <f>unitlist3[[#This Row],[health]]/unitlist3[[#This Row],[buildtime]]</f>
        <v>1.2328767123287672</v>
      </c>
      <c r="R295" s="5">
        <f>unitlist3[[#This Row],[dps]]/unitlist3[[#This Row],[metalcost]]</f>
        <v>0</v>
      </c>
      <c r="T295">
        <v>1</v>
      </c>
      <c r="Z295">
        <v>1</v>
      </c>
      <c r="AA295">
        <v>0</v>
      </c>
      <c r="AB295">
        <v>0</v>
      </c>
      <c r="AF295">
        <v>182</v>
      </c>
      <c r="AG295">
        <v>273</v>
      </c>
      <c r="AH295" t="s">
        <v>41</v>
      </c>
      <c r="AI295" t="s">
        <v>41</v>
      </c>
      <c r="AJ295" t="s">
        <v>41</v>
      </c>
      <c r="AK295">
        <v>1</v>
      </c>
      <c r="AL295" t="s">
        <v>1463</v>
      </c>
      <c r="AM295" t="s">
        <v>41</v>
      </c>
    </row>
    <row r="296" spans="1:39" hidden="1">
      <c r="A296" t="s">
        <v>777</v>
      </c>
      <c r="B296" t="s">
        <v>38</v>
      </c>
      <c r="C296">
        <v>2</v>
      </c>
      <c r="D296" t="s">
        <v>778</v>
      </c>
      <c r="E296" t="s">
        <v>779</v>
      </c>
      <c r="F296" t="s">
        <v>41</v>
      </c>
      <c r="G296" t="s">
        <v>780</v>
      </c>
      <c r="H296">
        <v>87</v>
      </c>
      <c r="I296">
        <v>125</v>
      </c>
      <c r="J296">
        <v>19000</v>
      </c>
      <c r="K296">
        <v>9100</v>
      </c>
      <c r="L296">
        <v>0</v>
      </c>
      <c r="M296">
        <v>0</v>
      </c>
      <c r="N296">
        <v>0</v>
      </c>
      <c r="O296">
        <v>0</v>
      </c>
      <c r="P296">
        <v>830</v>
      </c>
      <c r="Q296" s="5">
        <f>unitlist3[[#This Row],[health]]/unitlist3[[#This Row],[buildtime]]</f>
        <v>9.1208791208791204E-2</v>
      </c>
      <c r="R296" s="5">
        <f>unitlist3[[#This Row],[dps]]/unitlist3[[#This Row],[metalcost]]</f>
        <v>0</v>
      </c>
      <c r="Z296">
        <v>1</v>
      </c>
      <c r="AA296">
        <v>0</v>
      </c>
      <c r="AB296">
        <v>0</v>
      </c>
      <c r="AC296">
        <v>760</v>
      </c>
      <c r="AF296">
        <v>155</v>
      </c>
      <c r="AG296">
        <v>233</v>
      </c>
      <c r="AH296" t="s">
        <v>148</v>
      </c>
      <c r="AI296" t="s">
        <v>41</v>
      </c>
      <c r="AJ296" t="s">
        <v>41</v>
      </c>
      <c r="AK296">
        <v>1</v>
      </c>
      <c r="AL296" t="s">
        <v>1466</v>
      </c>
      <c r="AM296" t="s">
        <v>41</v>
      </c>
    </row>
    <row r="297" spans="1:39" hidden="1">
      <c r="A297" t="s">
        <v>781</v>
      </c>
      <c r="B297" t="s">
        <v>38</v>
      </c>
      <c r="C297">
        <v>1</v>
      </c>
      <c r="D297" t="s">
        <v>782</v>
      </c>
      <c r="E297" t="s">
        <v>783</v>
      </c>
      <c r="F297" t="s">
        <v>41</v>
      </c>
      <c r="G297" t="s">
        <v>784</v>
      </c>
      <c r="H297">
        <v>46</v>
      </c>
      <c r="I297">
        <v>740</v>
      </c>
      <c r="J297">
        <v>1800</v>
      </c>
      <c r="K297">
        <v>7200</v>
      </c>
      <c r="L297">
        <v>0</v>
      </c>
      <c r="M297">
        <v>0</v>
      </c>
      <c r="N297">
        <v>100</v>
      </c>
      <c r="O297">
        <v>0</v>
      </c>
      <c r="P297">
        <v>3000</v>
      </c>
      <c r="Q297" s="5">
        <f>unitlist3[[#This Row],[health]]/unitlist3[[#This Row],[buildtime]]</f>
        <v>0.41666666666666669</v>
      </c>
      <c r="R297" s="5">
        <f>unitlist3[[#This Row],[dps]]/unitlist3[[#This Row],[metalcost]]</f>
        <v>0</v>
      </c>
      <c r="Z297">
        <v>1</v>
      </c>
      <c r="AA297">
        <v>0</v>
      </c>
      <c r="AB297">
        <v>0</v>
      </c>
      <c r="AF297">
        <v>273</v>
      </c>
      <c r="AG297">
        <v>410</v>
      </c>
      <c r="AH297" t="s">
        <v>41</v>
      </c>
      <c r="AI297" t="s">
        <v>41</v>
      </c>
      <c r="AJ297" t="s">
        <v>785</v>
      </c>
      <c r="AK297">
        <v>1</v>
      </c>
      <c r="AL297" t="s">
        <v>1467</v>
      </c>
      <c r="AM297" t="s">
        <v>41</v>
      </c>
    </row>
    <row r="298" spans="1:39" hidden="1">
      <c r="A298" t="s">
        <v>793</v>
      </c>
      <c r="B298" t="s">
        <v>38</v>
      </c>
      <c r="C298">
        <v>1</v>
      </c>
      <c r="D298" t="s">
        <v>794</v>
      </c>
      <c r="E298" t="s">
        <v>795</v>
      </c>
      <c r="F298" t="s">
        <v>41</v>
      </c>
      <c r="G298" t="s">
        <v>796</v>
      </c>
      <c r="H298">
        <v>84</v>
      </c>
      <c r="I298">
        <v>37</v>
      </c>
      <c r="J298">
        <v>175</v>
      </c>
      <c r="K298">
        <v>1600</v>
      </c>
      <c r="L298">
        <v>0</v>
      </c>
      <c r="M298">
        <v>0</v>
      </c>
      <c r="N298">
        <v>0</v>
      </c>
      <c r="O298">
        <v>0</v>
      </c>
      <c r="P298">
        <v>196</v>
      </c>
      <c r="Q298" s="5">
        <f>unitlist3[[#This Row],[health]]/unitlist3[[#This Row],[buildtime]]</f>
        <v>0.1225</v>
      </c>
      <c r="R298" s="5">
        <f>unitlist3[[#This Row],[dps]]/unitlist3[[#This Row],[metalcost]]</f>
        <v>0</v>
      </c>
      <c r="Z298">
        <v>1</v>
      </c>
      <c r="AA298">
        <v>0</v>
      </c>
      <c r="AB298">
        <v>0</v>
      </c>
      <c r="AF298">
        <v>273</v>
      </c>
      <c r="AG298">
        <v>410</v>
      </c>
      <c r="AH298" t="s">
        <v>41</v>
      </c>
      <c r="AI298" t="s">
        <v>41</v>
      </c>
      <c r="AJ298" t="s">
        <v>41</v>
      </c>
      <c r="AK298">
        <v>1</v>
      </c>
      <c r="AL298" t="s">
        <v>1470</v>
      </c>
      <c r="AM298" t="s">
        <v>41</v>
      </c>
    </row>
    <row r="299" spans="1:39" hidden="1">
      <c r="A299" t="s">
        <v>810</v>
      </c>
      <c r="B299" t="s">
        <v>806</v>
      </c>
      <c r="C299">
        <v>2</v>
      </c>
      <c r="D299" t="s">
        <v>45</v>
      </c>
      <c r="E299" t="s">
        <v>46</v>
      </c>
      <c r="F299" t="s">
        <v>41</v>
      </c>
      <c r="G299" t="s">
        <v>47</v>
      </c>
      <c r="H299">
        <v>51</v>
      </c>
      <c r="I299">
        <v>3200</v>
      </c>
      <c r="J299">
        <v>28000</v>
      </c>
      <c r="K299">
        <v>20700</v>
      </c>
      <c r="L299">
        <v>0</v>
      </c>
      <c r="M299">
        <v>0</v>
      </c>
      <c r="N299">
        <v>200</v>
      </c>
      <c r="O299">
        <v>0</v>
      </c>
      <c r="P299">
        <v>3900</v>
      </c>
      <c r="Q299" s="5">
        <f>unitlist3[[#This Row],[health]]/unitlist3[[#This Row],[buildtime]]</f>
        <v>0.18840579710144928</v>
      </c>
      <c r="R299" s="5">
        <f>unitlist3[[#This Row],[dps]]/unitlist3[[#This Row],[metalcost]]</f>
        <v>0</v>
      </c>
      <c r="Z299">
        <v>1</v>
      </c>
      <c r="AA299">
        <v>0</v>
      </c>
      <c r="AB299">
        <v>0</v>
      </c>
      <c r="AE299">
        <v>1000</v>
      </c>
      <c r="AF299">
        <v>306</v>
      </c>
      <c r="AG299">
        <v>458</v>
      </c>
      <c r="AH299" t="s">
        <v>48</v>
      </c>
      <c r="AI299" t="s">
        <v>41</v>
      </c>
      <c r="AJ299" t="s">
        <v>811</v>
      </c>
      <c r="AK299">
        <v>1</v>
      </c>
      <c r="AL299" t="s">
        <v>1474</v>
      </c>
      <c r="AM299" t="s">
        <v>41</v>
      </c>
    </row>
    <row r="300" spans="1:39" hidden="1">
      <c r="A300" t="s">
        <v>812</v>
      </c>
      <c r="B300" t="s">
        <v>806</v>
      </c>
      <c r="C300">
        <v>2</v>
      </c>
      <c r="D300" t="s">
        <v>56</v>
      </c>
      <c r="E300" t="s">
        <v>57</v>
      </c>
      <c r="F300" t="s">
        <v>41</v>
      </c>
      <c r="G300" t="s">
        <v>58</v>
      </c>
      <c r="H300">
        <v>18</v>
      </c>
      <c r="I300">
        <v>360</v>
      </c>
      <c r="J300">
        <v>11000</v>
      </c>
      <c r="K300">
        <v>18000</v>
      </c>
      <c r="L300">
        <v>0</v>
      </c>
      <c r="M300">
        <v>10</v>
      </c>
      <c r="N300">
        <v>100</v>
      </c>
      <c r="O300">
        <v>182</v>
      </c>
      <c r="P300">
        <v>205</v>
      </c>
      <c r="Q300" s="5">
        <f>unitlist3[[#This Row],[health]]/unitlist3[[#This Row],[buildtime]]</f>
        <v>1.1388888888888889E-2</v>
      </c>
      <c r="R300" s="5">
        <f>unitlist3[[#This Row],[dps]]/unitlist3[[#This Row],[metalcost]]</f>
        <v>0</v>
      </c>
      <c r="U300">
        <v>1</v>
      </c>
      <c r="AA300">
        <v>0</v>
      </c>
      <c r="AB300">
        <v>0</v>
      </c>
      <c r="AE300">
        <v>50</v>
      </c>
      <c r="AF300">
        <v>384</v>
      </c>
      <c r="AG300">
        <v>575</v>
      </c>
      <c r="AH300" t="s">
        <v>41</v>
      </c>
      <c r="AI300" t="s">
        <v>41</v>
      </c>
      <c r="AJ300" t="s">
        <v>813</v>
      </c>
      <c r="AK300">
        <v>1</v>
      </c>
      <c r="AL300" t="s">
        <v>1475</v>
      </c>
      <c r="AM300" t="s">
        <v>41</v>
      </c>
    </row>
    <row r="301" spans="1:39">
      <c r="A301" t="s">
        <v>814</v>
      </c>
      <c r="B301" t="s">
        <v>806</v>
      </c>
      <c r="C301">
        <v>2</v>
      </c>
      <c r="D301" t="s">
        <v>61</v>
      </c>
      <c r="E301" t="s">
        <v>57</v>
      </c>
      <c r="F301" t="s">
        <v>41</v>
      </c>
      <c r="G301" t="s">
        <v>62</v>
      </c>
      <c r="H301">
        <v>39</v>
      </c>
      <c r="I301">
        <v>470</v>
      </c>
      <c r="J301">
        <v>6900</v>
      </c>
      <c r="K301">
        <v>9700</v>
      </c>
      <c r="L301">
        <v>0</v>
      </c>
      <c r="M301">
        <v>14</v>
      </c>
      <c r="N301">
        <v>180</v>
      </c>
      <c r="O301">
        <v>33</v>
      </c>
      <c r="P301">
        <v>1000</v>
      </c>
      <c r="Q301" s="5">
        <f>unitlist3[[#This Row],[health]]/unitlist3[[#This Row],[buildtime]]</f>
        <v>0.10309278350515463</v>
      </c>
      <c r="R301" s="5">
        <f>unitlist3[[#This Row],[dps]]/unitlist3[[#This Row],[metalcost]]</f>
        <v>0</v>
      </c>
      <c r="AA301">
        <v>0</v>
      </c>
      <c r="AB301">
        <v>0</v>
      </c>
      <c r="AE301">
        <v>50</v>
      </c>
      <c r="AF301">
        <v>319</v>
      </c>
      <c r="AG301">
        <v>478</v>
      </c>
      <c r="AH301" t="s">
        <v>41</v>
      </c>
      <c r="AI301" t="s">
        <v>41</v>
      </c>
      <c r="AJ301" t="s">
        <v>1476</v>
      </c>
      <c r="AK301">
        <v>1</v>
      </c>
      <c r="AL301" t="s">
        <v>1477</v>
      </c>
      <c r="AM301" t="s">
        <v>41</v>
      </c>
    </row>
    <row r="302" spans="1:39">
      <c r="A302" t="s">
        <v>815</v>
      </c>
      <c r="B302" t="s">
        <v>806</v>
      </c>
      <c r="C302">
        <v>2</v>
      </c>
      <c r="D302" t="s">
        <v>65</v>
      </c>
      <c r="E302" t="s">
        <v>57</v>
      </c>
      <c r="F302" t="s">
        <v>41</v>
      </c>
      <c r="G302" t="s">
        <v>66</v>
      </c>
      <c r="H302">
        <v>19</v>
      </c>
      <c r="I302">
        <v>700</v>
      </c>
      <c r="J302">
        <v>9000</v>
      </c>
      <c r="K302">
        <v>18000</v>
      </c>
      <c r="L302">
        <v>0</v>
      </c>
      <c r="M302">
        <v>30</v>
      </c>
      <c r="N302">
        <v>300</v>
      </c>
      <c r="O302">
        <v>65</v>
      </c>
      <c r="P302">
        <v>1110</v>
      </c>
      <c r="Q302" s="5">
        <f>unitlist3[[#This Row],[health]]/unitlist3[[#This Row],[buildtime]]</f>
        <v>6.1666666666666668E-2</v>
      </c>
      <c r="R302" s="5">
        <f>unitlist3[[#This Row],[dps]]/unitlist3[[#This Row],[metalcost]]</f>
        <v>0</v>
      </c>
      <c r="T302">
        <v>1</v>
      </c>
      <c r="AA302">
        <v>0</v>
      </c>
      <c r="AB302">
        <v>0</v>
      </c>
      <c r="AE302">
        <v>50</v>
      </c>
      <c r="AF302">
        <v>156</v>
      </c>
      <c r="AG302">
        <v>234</v>
      </c>
      <c r="AH302" t="s">
        <v>41</v>
      </c>
      <c r="AI302" t="s">
        <v>41</v>
      </c>
      <c r="AJ302" t="s">
        <v>816</v>
      </c>
      <c r="AK302">
        <v>1</v>
      </c>
      <c r="AL302" t="s">
        <v>1478</v>
      </c>
      <c r="AM302" t="s">
        <v>41</v>
      </c>
    </row>
    <row r="303" spans="1:39">
      <c r="A303" t="s">
        <v>817</v>
      </c>
      <c r="B303" t="s">
        <v>806</v>
      </c>
      <c r="C303">
        <v>2</v>
      </c>
      <c r="D303" t="s">
        <v>69</v>
      </c>
      <c r="E303" t="s">
        <v>57</v>
      </c>
      <c r="F303" t="s">
        <v>41</v>
      </c>
      <c r="G303" t="s">
        <v>70</v>
      </c>
      <c r="H303">
        <v>37</v>
      </c>
      <c r="I303">
        <v>580</v>
      </c>
      <c r="J303">
        <v>7000</v>
      </c>
      <c r="K303">
        <v>12900</v>
      </c>
      <c r="L303">
        <v>0</v>
      </c>
      <c r="M303">
        <v>20</v>
      </c>
      <c r="N303">
        <v>250</v>
      </c>
      <c r="O303">
        <v>50</v>
      </c>
      <c r="P303">
        <v>2150</v>
      </c>
      <c r="Q303" s="5">
        <f>unitlist3[[#This Row],[health]]/unitlist3[[#This Row],[buildtime]]</f>
        <v>0.16666666666666666</v>
      </c>
      <c r="R303" s="5">
        <f>unitlist3[[#This Row],[dps]]/unitlist3[[#This Row],[metalcost]]</f>
        <v>0</v>
      </c>
      <c r="AA303">
        <v>0</v>
      </c>
      <c r="AB303">
        <v>0</v>
      </c>
      <c r="AE303">
        <v>50</v>
      </c>
      <c r="AF303">
        <v>295</v>
      </c>
      <c r="AG303">
        <v>443</v>
      </c>
      <c r="AH303" t="s">
        <v>41</v>
      </c>
      <c r="AI303" t="s">
        <v>41</v>
      </c>
      <c r="AJ303" t="s">
        <v>818</v>
      </c>
      <c r="AK303">
        <v>1</v>
      </c>
      <c r="AL303" t="s">
        <v>1479</v>
      </c>
      <c r="AM303" t="s">
        <v>41</v>
      </c>
    </row>
    <row r="304" spans="1:39" hidden="1">
      <c r="A304" t="s">
        <v>819</v>
      </c>
      <c r="B304" t="s">
        <v>806</v>
      </c>
      <c r="C304">
        <v>1</v>
      </c>
      <c r="D304" t="s">
        <v>73</v>
      </c>
      <c r="E304" t="s">
        <v>74</v>
      </c>
      <c r="F304" t="s">
        <v>41</v>
      </c>
      <c r="G304" t="s">
        <v>75</v>
      </c>
      <c r="H304">
        <v>12</v>
      </c>
      <c r="I304">
        <v>370</v>
      </c>
      <c r="J304">
        <v>4000</v>
      </c>
      <c r="K304">
        <v>8150</v>
      </c>
      <c r="L304">
        <v>0</v>
      </c>
      <c r="M304">
        <v>75</v>
      </c>
      <c r="N304">
        <v>0</v>
      </c>
      <c r="O304">
        <v>0</v>
      </c>
      <c r="P304">
        <v>1200</v>
      </c>
      <c r="Q304" s="5">
        <f>unitlist3[[#This Row],[health]]/unitlist3[[#This Row],[buildtime]]</f>
        <v>0.14723926380368099</v>
      </c>
      <c r="R304" s="5">
        <f>unitlist3[[#This Row],[dps]]/unitlist3[[#This Row],[metalcost]]</f>
        <v>0</v>
      </c>
      <c r="Z304">
        <v>1</v>
      </c>
      <c r="AA304">
        <v>0</v>
      </c>
      <c r="AB304">
        <v>0</v>
      </c>
      <c r="AF304">
        <v>260</v>
      </c>
      <c r="AG304">
        <v>390</v>
      </c>
      <c r="AH304" t="s">
        <v>41</v>
      </c>
      <c r="AI304" t="s">
        <v>41</v>
      </c>
      <c r="AJ304" t="s">
        <v>41</v>
      </c>
      <c r="AK304">
        <v>1</v>
      </c>
      <c r="AL304" t="s">
        <v>1480</v>
      </c>
      <c r="AM304" t="s">
        <v>41</v>
      </c>
    </row>
    <row r="305" spans="1:39" hidden="1">
      <c r="A305" t="s">
        <v>820</v>
      </c>
      <c r="B305" t="s">
        <v>806</v>
      </c>
      <c r="C305">
        <v>2</v>
      </c>
      <c r="D305" t="s">
        <v>77</v>
      </c>
      <c r="E305" t="s">
        <v>78</v>
      </c>
      <c r="F305" t="s">
        <v>41</v>
      </c>
      <c r="G305" t="s">
        <v>79</v>
      </c>
      <c r="H305">
        <v>99</v>
      </c>
      <c r="I305">
        <v>9700</v>
      </c>
      <c r="J305">
        <v>48000</v>
      </c>
      <c r="K305">
        <v>329200</v>
      </c>
      <c r="L305">
        <v>0</v>
      </c>
      <c r="M305">
        <v>3000</v>
      </c>
      <c r="N305">
        <v>0</v>
      </c>
      <c r="O305">
        <v>0</v>
      </c>
      <c r="P305">
        <v>9400</v>
      </c>
      <c r="Q305" s="5">
        <f>unitlist3[[#This Row],[health]]/unitlist3[[#This Row],[buildtime]]</f>
        <v>2.8554070473876064E-2</v>
      </c>
      <c r="R305" s="5">
        <f>unitlist3[[#This Row],[dps]]/unitlist3[[#This Row],[metalcost]]</f>
        <v>0</v>
      </c>
      <c r="Z305">
        <v>1</v>
      </c>
      <c r="AA305">
        <v>0</v>
      </c>
      <c r="AB305">
        <v>0</v>
      </c>
      <c r="AF305">
        <v>273</v>
      </c>
      <c r="AG305">
        <v>410</v>
      </c>
      <c r="AH305" t="s">
        <v>41</v>
      </c>
      <c r="AI305" t="s">
        <v>41</v>
      </c>
      <c r="AJ305" t="s">
        <v>41</v>
      </c>
      <c r="AK305">
        <v>1</v>
      </c>
      <c r="AL305" t="s">
        <v>1481</v>
      </c>
      <c r="AM305" t="s">
        <v>41</v>
      </c>
    </row>
    <row r="306" spans="1:39" hidden="1">
      <c r="A306" t="s">
        <v>821</v>
      </c>
      <c r="B306" t="s">
        <v>806</v>
      </c>
      <c r="C306">
        <v>2</v>
      </c>
      <c r="D306" t="s">
        <v>81</v>
      </c>
      <c r="E306" t="s">
        <v>82</v>
      </c>
      <c r="F306" t="s">
        <v>41</v>
      </c>
      <c r="G306" t="s">
        <v>83</v>
      </c>
      <c r="H306">
        <v>74</v>
      </c>
      <c r="I306">
        <v>1500</v>
      </c>
      <c r="J306">
        <v>27000</v>
      </c>
      <c r="K306">
        <v>32000</v>
      </c>
      <c r="L306">
        <v>0</v>
      </c>
      <c r="M306">
        <v>1250</v>
      </c>
      <c r="N306">
        <v>0</v>
      </c>
      <c r="O306">
        <v>0</v>
      </c>
      <c r="P306">
        <v>4150</v>
      </c>
      <c r="Q306" s="5">
        <f>unitlist3[[#This Row],[health]]/unitlist3[[#This Row],[buildtime]]</f>
        <v>0.12968750000000001</v>
      </c>
      <c r="R306" s="5">
        <f>unitlist3[[#This Row],[dps]]/unitlist3[[#This Row],[metalcost]]</f>
        <v>0</v>
      </c>
      <c r="Z306">
        <v>1</v>
      </c>
      <c r="AA306">
        <v>0</v>
      </c>
      <c r="AB306">
        <v>0</v>
      </c>
      <c r="AF306">
        <v>273</v>
      </c>
      <c r="AG306">
        <v>410</v>
      </c>
      <c r="AH306" t="s">
        <v>41</v>
      </c>
      <c r="AI306" t="s">
        <v>41</v>
      </c>
      <c r="AJ306" t="s">
        <v>41</v>
      </c>
      <c r="AK306">
        <v>1</v>
      </c>
      <c r="AL306" t="s">
        <v>1482</v>
      </c>
      <c r="AM306" t="s">
        <v>41</v>
      </c>
    </row>
    <row r="307" spans="1:39" hidden="1">
      <c r="A307" t="s">
        <v>826</v>
      </c>
      <c r="B307" t="s">
        <v>806</v>
      </c>
      <c r="C307">
        <v>2</v>
      </c>
      <c r="D307" t="s">
        <v>90</v>
      </c>
      <c r="E307" t="s">
        <v>91</v>
      </c>
      <c r="F307" t="s">
        <v>41</v>
      </c>
      <c r="G307" t="s">
        <v>92</v>
      </c>
      <c r="H307">
        <v>58</v>
      </c>
      <c r="I307">
        <v>2900</v>
      </c>
      <c r="J307">
        <v>16000</v>
      </c>
      <c r="K307">
        <v>16800</v>
      </c>
      <c r="L307">
        <v>0</v>
      </c>
      <c r="M307">
        <v>0</v>
      </c>
      <c r="N307">
        <v>300</v>
      </c>
      <c r="O307">
        <v>0</v>
      </c>
      <c r="P307">
        <v>4500</v>
      </c>
      <c r="Q307" s="5">
        <f>unitlist3[[#This Row],[health]]/unitlist3[[#This Row],[buildtime]]</f>
        <v>0.26785714285714285</v>
      </c>
      <c r="R307" s="5">
        <f>unitlist3[[#This Row],[dps]]/unitlist3[[#This Row],[metalcost]]</f>
        <v>0</v>
      </c>
      <c r="Z307">
        <v>1</v>
      </c>
      <c r="AA307">
        <v>0</v>
      </c>
      <c r="AB307">
        <v>0</v>
      </c>
      <c r="AF307">
        <v>289</v>
      </c>
      <c r="AG307">
        <v>433</v>
      </c>
      <c r="AH307" t="s">
        <v>41</v>
      </c>
      <c r="AI307" t="s">
        <v>41</v>
      </c>
      <c r="AJ307" t="s">
        <v>827</v>
      </c>
      <c r="AK307">
        <v>1</v>
      </c>
      <c r="AL307" t="s">
        <v>1485</v>
      </c>
      <c r="AM307" t="s">
        <v>41</v>
      </c>
    </row>
    <row r="308" spans="1:39" hidden="1">
      <c r="A308" t="s">
        <v>832</v>
      </c>
      <c r="B308" t="s">
        <v>806</v>
      </c>
      <c r="C308">
        <v>1</v>
      </c>
      <c r="D308" t="s">
        <v>116</v>
      </c>
      <c r="E308" t="s">
        <v>117</v>
      </c>
      <c r="F308" t="s">
        <v>41</v>
      </c>
      <c r="G308" t="s">
        <v>118</v>
      </c>
      <c r="H308">
        <v>30</v>
      </c>
      <c r="I308">
        <v>1200</v>
      </c>
      <c r="J308">
        <v>5600</v>
      </c>
      <c r="K308">
        <v>11400</v>
      </c>
      <c r="L308">
        <v>0</v>
      </c>
      <c r="M308">
        <v>0</v>
      </c>
      <c r="N308">
        <v>150</v>
      </c>
      <c r="O308">
        <v>0</v>
      </c>
      <c r="P308">
        <v>2800</v>
      </c>
      <c r="Q308" s="5">
        <f>unitlist3[[#This Row],[health]]/unitlist3[[#This Row],[buildtime]]</f>
        <v>0.24561403508771928</v>
      </c>
      <c r="R308" s="5">
        <f>unitlist3[[#This Row],[dps]]/unitlist3[[#This Row],[metalcost]]</f>
        <v>0</v>
      </c>
      <c r="T308">
        <v>1</v>
      </c>
      <c r="Z308">
        <v>1</v>
      </c>
      <c r="AA308">
        <v>0</v>
      </c>
      <c r="AB308">
        <v>0</v>
      </c>
      <c r="AF308">
        <v>240</v>
      </c>
      <c r="AG308">
        <v>360</v>
      </c>
      <c r="AH308" t="s">
        <v>41</v>
      </c>
      <c r="AI308" t="s">
        <v>41</v>
      </c>
      <c r="AJ308" t="s">
        <v>833</v>
      </c>
      <c r="AK308">
        <v>1</v>
      </c>
      <c r="AL308" t="s">
        <v>1487</v>
      </c>
      <c r="AM308" t="s">
        <v>41</v>
      </c>
    </row>
    <row r="309" spans="1:39" hidden="1">
      <c r="A309" t="s">
        <v>835</v>
      </c>
      <c r="B309" t="s">
        <v>806</v>
      </c>
      <c r="C309">
        <v>1</v>
      </c>
      <c r="D309" t="s">
        <v>133</v>
      </c>
      <c r="E309" t="s">
        <v>134</v>
      </c>
      <c r="F309" t="s">
        <v>41</v>
      </c>
      <c r="G309" t="s">
        <v>135</v>
      </c>
      <c r="H309">
        <v>42</v>
      </c>
      <c r="I309">
        <v>840</v>
      </c>
      <c r="J309">
        <v>1350</v>
      </c>
      <c r="K309">
        <v>7180</v>
      </c>
      <c r="L309">
        <v>0</v>
      </c>
      <c r="M309">
        <v>0</v>
      </c>
      <c r="N309">
        <v>100</v>
      </c>
      <c r="O309">
        <v>0</v>
      </c>
      <c r="P309">
        <v>2150</v>
      </c>
      <c r="Q309" s="5">
        <f>unitlist3[[#This Row],[health]]/unitlist3[[#This Row],[buildtime]]</f>
        <v>0.29944289693593312</v>
      </c>
      <c r="R309" s="5">
        <f>unitlist3[[#This Row],[dps]]/unitlist3[[#This Row],[metalcost]]</f>
        <v>0</v>
      </c>
      <c r="Z309">
        <v>1</v>
      </c>
      <c r="AA309">
        <v>0</v>
      </c>
      <c r="AB309">
        <v>0</v>
      </c>
      <c r="AE309">
        <v>510</v>
      </c>
      <c r="AF309">
        <v>273</v>
      </c>
      <c r="AG309">
        <v>410</v>
      </c>
      <c r="AH309" t="s">
        <v>41</v>
      </c>
      <c r="AI309" t="s">
        <v>41</v>
      </c>
      <c r="AJ309" t="s">
        <v>1490</v>
      </c>
      <c r="AK309">
        <v>1</v>
      </c>
      <c r="AL309" t="s">
        <v>1491</v>
      </c>
      <c r="AM309" t="s">
        <v>41</v>
      </c>
    </row>
    <row r="310" spans="1:39" hidden="1">
      <c r="A310" t="s">
        <v>838</v>
      </c>
      <c r="B310" t="s">
        <v>806</v>
      </c>
      <c r="C310">
        <v>2</v>
      </c>
      <c r="D310" t="s">
        <v>137</v>
      </c>
      <c r="E310" t="s">
        <v>138</v>
      </c>
      <c r="F310" t="s">
        <v>41</v>
      </c>
      <c r="G310" t="s">
        <v>139</v>
      </c>
      <c r="H310">
        <v>90</v>
      </c>
      <c r="I310">
        <v>560</v>
      </c>
      <c r="J310">
        <v>19000</v>
      </c>
      <c r="K310">
        <v>12000</v>
      </c>
      <c r="L310">
        <v>0</v>
      </c>
      <c r="M310">
        <v>0</v>
      </c>
      <c r="N310">
        <v>0</v>
      </c>
      <c r="O310">
        <v>0</v>
      </c>
      <c r="P310">
        <v>365</v>
      </c>
      <c r="Q310" s="5">
        <f>unitlist3[[#This Row],[health]]/unitlist3[[#This Row],[buildtime]]</f>
        <v>3.0416666666666668E-2</v>
      </c>
      <c r="R310" s="5">
        <f>unitlist3[[#This Row],[dps]]/unitlist3[[#This Row],[metalcost]]</f>
        <v>0</v>
      </c>
      <c r="Z310">
        <v>1</v>
      </c>
      <c r="AA310">
        <v>0</v>
      </c>
      <c r="AB310">
        <v>0</v>
      </c>
      <c r="AE310">
        <v>3500</v>
      </c>
      <c r="AF310">
        <v>780</v>
      </c>
      <c r="AG310">
        <v>1170</v>
      </c>
      <c r="AH310" t="s">
        <v>48</v>
      </c>
      <c r="AI310" t="s">
        <v>41</v>
      </c>
      <c r="AJ310" t="s">
        <v>41</v>
      </c>
      <c r="AK310">
        <v>1</v>
      </c>
      <c r="AL310" t="s">
        <v>1493</v>
      </c>
      <c r="AM310" t="s">
        <v>41</v>
      </c>
    </row>
    <row r="311" spans="1:39" hidden="1">
      <c r="A311" t="s">
        <v>841</v>
      </c>
      <c r="B311" t="s">
        <v>806</v>
      </c>
      <c r="C311">
        <v>2</v>
      </c>
      <c r="D311" t="s">
        <v>150</v>
      </c>
      <c r="E311" t="s">
        <v>151</v>
      </c>
      <c r="F311" t="s">
        <v>41</v>
      </c>
      <c r="G311" t="s">
        <v>139</v>
      </c>
      <c r="H311">
        <v>12</v>
      </c>
      <c r="I311">
        <v>160</v>
      </c>
      <c r="J311">
        <v>2400</v>
      </c>
      <c r="K311">
        <v>6100</v>
      </c>
      <c r="L311">
        <v>0</v>
      </c>
      <c r="M311">
        <v>0</v>
      </c>
      <c r="N311">
        <v>0</v>
      </c>
      <c r="O311">
        <v>0</v>
      </c>
      <c r="P311">
        <v>2400</v>
      </c>
      <c r="Q311" s="5">
        <f>unitlist3[[#This Row],[health]]/unitlist3[[#This Row],[buildtime]]</f>
        <v>0.39344262295081966</v>
      </c>
      <c r="R311" s="5">
        <f>unitlist3[[#This Row],[dps]]/unitlist3[[#This Row],[metalcost]]</f>
        <v>0</v>
      </c>
      <c r="T311">
        <v>1</v>
      </c>
      <c r="Z311">
        <v>1</v>
      </c>
      <c r="AA311">
        <v>0</v>
      </c>
      <c r="AB311">
        <v>0</v>
      </c>
      <c r="AD311">
        <v>1600</v>
      </c>
      <c r="AF311">
        <v>210</v>
      </c>
      <c r="AG311">
        <v>315</v>
      </c>
      <c r="AH311" t="s">
        <v>41</v>
      </c>
      <c r="AI311" t="s">
        <v>41</v>
      </c>
      <c r="AJ311" t="s">
        <v>41</v>
      </c>
      <c r="AK311">
        <v>1</v>
      </c>
      <c r="AL311" t="s">
        <v>1495</v>
      </c>
      <c r="AM311" t="s">
        <v>41</v>
      </c>
    </row>
    <row r="312" spans="1:39" hidden="1">
      <c r="A312" t="s">
        <v>842</v>
      </c>
      <c r="B312" t="s">
        <v>806</v>
      </c>
      <c r="C312">
        <v>1</v>
      </c>
      <c r="D312" t="s">
        <v>153</v>
      </c>
      <c r="E312" t="s">
        <v>154</v>
      </c>
      <c r="F312" t="s">
        <v>41</v>
      </c>
      <c r="G312" t="s">
        <v>843</v>
      </c>
      <c r="H312">
        <v>57</v>
      </c>
      <c r="I312">
        <v>400</v>
      </c>
      <c r="J312">
        <v>4400</v>
      </c>
      <c r="K312">
        <v>9300</v>
      </c>
      <c r="L312">
        <v>0</v>
      </c>
      <c r="M312">
        <v>0</v>
      </c>
      <c r="N312">
        <v>1000</v>
      </c>
      <c r="O312">
        <v>0</v>
      </c>
      <c r="P312">
        <v>1780</v>
      </c>
      <c r="Q312" s="5">
        <f>unitlist3[[#This Row],[health]]/unitlist3[[#This Row],[buildtime]]</f>
        <v>0.1913978494623656</v>
      </c>
      <c r="R312" s="5">
        <f>unitlist3[[#This Row],[dps]]/unitlist3[[#This Row],[metalcost]]</f>
        <v>0</v>
      </c>
      <c r="Z312">
        <v>1</v>
      </c>
      <c r="AA312">
        <v>0</v>
      </c>
      <c r="AB312">
        <v>0</v>
      </c>
      <c r="AF312">
        <v>358</v>
      </c>
      <c r="AG312">
        <v>536</v>
      </c>
      <c r="AH312" t="s">
        <v>156</v>
      </c>
      <c r="AI312" t="s">
        <v>41</v>
      </c>
      <c r="AJ312" t="s">
        <v>41</v>
      </c>
      <c r="AK312">
        <v>1</v>
      </c>
      <c r="AL312" t="s">
        <v>1496</v>
      </c>
      <c r="AM312" t="s">
        <v>41</v>
      </c>
    </row>
    <row r="313" spans="1:39" hidden="1">
      <c r="A313" t="s">
        <v>844</v>
      </c>
      <c r="B313" t="s">
        <v>806</v>
      </c>
      <c r="C313">
        <v>2</v>
      </c>
      <c r="D313" t="s">
        <v>160</v>
      </c>
      <c r="E313" t="s">
        <v>161</v>
      </c>
      <c r="F313" t="s">
        <v>41</v>
      </c>
      <c r="G313" t="s">
        <v>162</v>
      </c>
      <c r="H313">
        <v>52</v>
      </c>
      <c r="I313">
        <v>3100</v>
      </c>
      <c r="J313">
        <v>10000</v>
      </c>
      <c r="K313">
        <v>15700</v>
      </c>
      <c r="L313">
        <v>0</v>
      </c>
      <c r="M313">
        <v>0</v>
      </c>
      <c r="N313">
        <v>300</v>
      </c>
      <c r="O313">
        <v>0</v>
      </c>
      <c r="P313">
        <v>5900</v>
      </c>
      <c r="Q313" s="5">
        <f>unitlist3[[#This Row],[health]]/unitlist3[[#This Row],[buildtime]]</f>
        <v>0.37579617834394907</v>
      </c>
      <c r="R313" s="5">
        <f>unitlist3[[#This Row],[dps]]/unitlist3[[#This Row],[metalcost]]</f>
        <v>0</v>
      </c>
      <c r="Z313">
        <v>1</v>
      </c>
      <c r="AA313">
        <v>0</v>
      </c>
      <c r="AB313">
        <v>0</v>
      </c>
      <c r="AF313">
        <v>302</v>
      </c>
      <c r="AG313">
        <v>452</v>
      </c>
      <c r="AH313" t="s">
        <v>41</v>
      </c>
      <c r="AI313" t="s">
        <v>41</v>
      </c>
      <c r="AJ313" t="s">
        <v>845</v>
      </c>
      <c r="AK313">
        <v>1</v>
      </c>
      <c r="AL313" t="s">
        <v>1497</v>
      </c>
      <c r="AM313" t="s">
        <v>41</v>
      </c>
    </row>
    <row r="314" spans="1:39" hidden="1">
      <c r="A314" t="s">
        <v>848</v>
      </c>
      <c r="B314" t="s">
        <v>806</v>
      </c>
      <c r="C314">
        <v>2</v>
      </c>
      <c r="D314" t="s">
        <v>174</v>
      </c>
      <c r="E314" t="s">
        <v>175</v>
      </c>
      <c r="F314" t="s">
        <v>41</v>
      </c>
      <c r="G314" t="s">
        <v>176</v>
      </c>
      <c r="H314">
        <v>42</v>
      </c>
      <c r="I314">
        <v>2800</v>
      </c>
      <c r="J314">
        <v>16000</v>
      </c>
      <c r="K314">
        <v>18500</v>
      </c>
      <c r="L314">
        <v>0</v>
      </c>
      <c r="M314">
        <v>0</v>
      </c>
      <c r="N314">
        <v>300</v>
      </c>
      <c r="O314">
        <v>0</v>
      </c>
      <c r="P314">
        <v>5100</v>
      </c>
      <c r="Q314" s="5">
        <f>unitlist3[[#This Row],[health]]/unitlist3[[#This Row],[buildtime]]</f>
        <v>0.27567567567567569</v>
      </c>
      <c r="R314" s="5">
        <f>unitlist3[[#This Row],[dps]]/unitlist3[[#This Row],[metalcost]]</f>
        <v>0</v>
      </c>
      <c r="Z314">
        <v>1</v>
      </c>
      <c r="AA314">
        <v>0</v>
      </c>
      <c r="AB314">
        <v>0</v>
      </c>
      <c r="AF314">
        <v>286</v>
      </c>
      <c r="AG314">
        <v>429</v>
      </c>
      <c r="AH314" t="s">
        <v>41</v>
      </c>
      <c r="AI314" t="s">
        <v>41</v>
      </c>
      <c r="AJ314" t="s">
        <v>849</v>
      </c>
      <c r="AK314">
        <v>1</v>
      </c>
      <c r="AL314" t="s">
        <v>1499</v>
      </c>
      <c r="AM314" t="s">
        <v>41</v>
      </c>
    </row>
    <row r="315" spans="1:39" hidden="1">
      <c r="A315" t="s">
        <v>850</v>
      </c>
      <c r="B315" t="s">
        <v>806</v>
      </c>
      <c r="C315">
        <v>2</v>
      </c>
      <c r="D315" t="s">
        <v>851</v>
      </c>
      <c r="E315" t="s">
        <v>180</v>
      </c>
      <c r="F315" t="s">
        <v>41</v>
      </c>
      <c r="G315" t="s">
        <v>181</v>
      </c>
      <c r="H315">
        <v>9</v>
      </c>
      <c r="I315">
        <v>180</v>
      </c>
      <c r="J315">
        <v>8300</v>
      </c>
      <c r="K315">
        <v>13300</v>
      </c>
      <c r="L315">
        <v>0</v>
      </c>
      <c r="M315">
        <v>0</v>
      </c>
      <c r="N315">
        <v>0</v>
      </c>
      <c r="O315">
        <v>321</v>
      </c>
      <c r="P315">
        <v>990</v>
      </c>
      <c r="Q315" s="5">
        <f>unitlist3[[#This Row],[health]]/unitlist3[[#This Row],[buildtime]]</f>
        <v>7.4436090225563911E-2</v>
      </c>
      <c r="R315" s="5">
        <f>unitlist3[[#This Row],[dps]]/unitlist3[[#This Row],[metalcost]]</f>
        <v>0</v>
      </c>
      <c r="U315">
        <v>1</v>
      </c>
      <c r="AA315">
        <v>0</v>
      </c>
      <c r="AB315">
        <v>0</v>
      </c>
      <c r="AD315">
        <v>1200</v>
      </c>
      <c r="AE315">
        <v>2400</v>
      </c>
      <c r="AF315">
        <v>1250</v>
      </c>
      <c r="AG315">
        <v>1875</v>
      </c>
      <c r="AH315" t="s">
        <v>48</v>
      </c>
      <c r="AI315" t="s">
        <v>41</v>
      </c>
      <c r="AJ315" t="s">
        <v>41</v>
      </c>
      <c r="AK315">
        <v>1</v>
      </c>
      <c r="AL315" t="s">
        <v>1500</v>
      </c>
      <c r="AM315" t="s">
        <v>41</v>
      </c>
    </row>
    <row r="316" spans="1:39" hidden="1">
      <c r="A316" t="s">
        <v>868</v>
      </c>
      <c r="B316" t="s">
        <v>806</v>
      </c>
      <c r="C316">
        <v>1</v>
      </c>
      <c r="D316" t="s">
        <v>869</v>
      </c>
      <c r="E316" t="s">
        <v>870</v>
      </c>
      <c r="F316" t="s">
        <v>41</v>
      </c>
      <c r="G316" t="s">
        <v>871</v>
      </c>
      <c r="H316">
        <v>5</v>
      </c>
      <c r="I316">
        <v>58</v>
      </c>
      <c r="J316">
        <v>1300</v>
      </c>
      <c r="K316">
        <v>2070</v>
      </c>
      <c r="L316">
        <v>0</v>
      </c>
      <c r="M316">
        <v>0</v>
      </c>
      <c r="N316">
        <v>0</v>
      </c>
      <c r="O316">
        <v>281</v>
      </c>
      <c r="P316">
        <v>83</v>
      </c>
      <c r="Q316" s="5">
        <f>unitlist3[[#This Row],[health]]/unitlist3[[#This Row],[buildtime]]</f>
        <v>4.0096618357487922E-2</v>
      </c>
      <c r="R316" s="5">
        <f>unitlist3[[#This Row],[dps]]/unitlist3[[#This Row],[metalcost]]</f>
        <v>0</v>
      </c>
      <c r="U316">
        <v>1</v>
      </c>
      <c r="AA316">
        <v>0</v>
      </c>
      <c r="AB316">
        <v>220</v>
      </c>
      <c r="AF316">
        <v>364</v>
      </c>
      <c r="AG316">
        <v>546</v>
      </c>
      <c r="AH316" t="s">
        <v>41</v>
      </c>
      <c r="AI316" t="s">
        <v>287</v>
      </c>
      <c r="AJ316" t="s">
        <v>41</v>
      </c>
      <c r="AK316">
        <v>1</v>
      </c>
      <c r="AL316" t="s">
        <v>1506</v>
      </c>
      <c r="AM316" t="s">
        <v>41</v>
      </c>
    </row>
    <row r="317" spans="1:39" hidden="1">
      <c r="A317" t="s">
        <v>872</v>
      </c>
      <c r="B317" t="s">
        <v>806</v>
      </c>
      <c r="C317">
        <v>1</v>
      </c>
      <c r="D317" t="s">
        <v>215</v>
      </c>
      <c r="E317" t="s">
        <v>216</v>
      </c>
      <c r="F317" t="s">
        <v>41</v>
      </c>
      <c r="G317" t="s">
        <v>217</v>
      </c>
      <c r="H317">
        <v>8</v>
      </c>
      <c r="I317">
        <v>115</v>
      </c>
      <c r="J317">
        <v>3200</v>
      </c>
      <c r="K317">
        <v>8360</v>
      </c>
      <c r="L317">
        <v>0</v>
      </c>
      <c r="M317">
        <v>5</v>
      </c>
      <c r="N317">
        <v>60</v>
      </c>
      <c r="O317">
        <v>201</v>
      </c>
      <c r="P317">
        <v>161</v>
      </c>
      <c r="Q317" s="5">
        <f>unitlist3[[#This Row],[health]]/unitlist3[[#This Row],[buildtime]]</f>
        <v>1.9258373205741627E-2</v>
      </c>
      <c r="R317" s="5">
        <f>unitlist3[[#This Row],[dps]]/unitlist3[[#This Row],[metalcost]]</f>
        <v>0</v>
      </c>
      <c r="U317">
        <v>1</v>
      </c>
      <c r="AA317">
        <v>0</v>
      </c>
      <c r="AB317">
        <v>0</v>
      </c>
      <c r="AE317">
        <v>50</v>
      </c>
      <c r="AF317">
        <v>351</v>
      </c>
      <c r="AG317">
        <v>527</v>
      </c>
      <c r="AH317" t="s">
        <v>41</v>
      </c>
      <c r="AI317" t="s">
        <v>41</v>
      </c>
      <c r="AJ317" t="s">
        <v>873</v>
      </c>
      <c r="AK317">
        <v>1</v>
      </c>
      <c r="AL317" t="s">
        <v>1507</v>
      </c>
      <c r="AM317" t="s">
        <v>41</v>
      </c>
    </row>
    <row r="318" spans="1:39">
      <c r="A318" t="s">
        <v>881</v>
      </c>
      <c r="B318" t="s">
        <v>806</v>
      </c>
      <c r="C318">
        <v>1</v>
      </c>
      <c r="D318" t="s">
        <v>220</v>
      </c>
      <c r="E318" t="s">
        <v>216</v>
      </c>
      <c r="F318" t="s">
        <v>41</v>
      </c>
      <c r="G318" t="s">
        <v>221</v>
      </c>
      <c r="H318">
        <v>20</v>
      </c>
      <c r="I318">
        <v>190</v>
      </c>
      <c r="J318">
        <v>3000</v>
      </c>
      <c r="K318">
        <v>4580</v>
      </c>
      <c r="L318">
        <v>0</v>
      </c>
      <c r="M318">
        <v>11</v>
      </c>
      <c r="N318">
        <v>110</v>
      </c>
      <c r="O318">
        <v>61</v>
      </c>
      <c r="P318">
        <v>1490</v>
      </c>
      <c r="Q318" s="5">
        <f>unitlist3[[#This Row],[health]]/unitlist3[[#This Row],[buildtime]]</f>
        <v>0.32532751091703055</v>
      </c>
      <c r="R318" s="5">
        <f>unitlist3[[#This Row],[dps]]/unitlist3[[#This Row],[metalcost]]</f>
        <v>0</v>
      </c>
      <c r="V318">
        <v>1</v>
      </c>
      <c r="AA318">
        <v>0</v>
      </c>
      <c r="AB318">
        <v>0</v>
      </c>
      <c r="AE318">
        <v>50</v>
      </c>
      <c r="AF318">
        <v>338</v>
      </c>
      <c r="AG318">
        <v>507</v>
      </c>
      <c r="AH318" t="s">
        <v>41</v>
      </c>
      <c r="AI318" t="s">
        <v>41</v>
      </c>
      <c r="AJ318" t="s">
        <v>882</v>
      </c>
      <c r="AK318">
        <v>1</v>
      </c>
      <c r="AL318" t="s">
        <v>1510</v>
      </c>
      <c r="AM318" t="s">
        <v>41</v>
      </c>
    </row>
    <row r="319" spans="1:39">
      <c r="A319" t="s">
        <v>883</v>
      </c>
      <c r="B319" t="s">
        <v>806</v>
      </c>
      <c r="C319">
        <v>1</v>
      </c>
      <c r="D319" t="s">
        <v>228</v>
      </c>
      <c r="E319" t="s">
        <v>216</v>
      </c>
      <c r="F319" t="s">
        <v>41</v>
      </c>
      <c r="G319" t="s">
        <v>229</v>
      </c>
      <c r="H319">
        <v>31</v>
      </c>
      <c r="I319">
        <v>120</v>
      </c>
      <c r="J319">
        <v>1750</v>
      </c>
      <c r="K319">
        <v>3550</v>
      </c>
      <c r="L319">
        <v>0</v>
      </c>
      <c r="M319">
        <v>7</v>
      </c>
      <c r="N319">
        <v>80</v>
      </c>
      <c r="O319">
        <v>35</v>
      </c>
      <c r="P319">
        <v>660</v>
      </c>
      <c r="Q319" s="5">
        <f>unitlist3[[#This Row],[health]]/unitlist3[[#This Row],[buildtime]]</f>
        <v>0.18591549295774648</v>
      </c>
      <c r="R319" s="5">
        <f>unitlist3[[#This Row],[dps]]/unitlist3[[#This Row],[metalcost]]</f>
        <v>0</v>
      </c>
      <c r="AA319">
        <v>0</v>
      </c>
      <c r="AB319">
        <v>0</v>
      </c>
      <c r="AF319">
        <v>299</v>
      </c>
      <c r="AG319">
        <v>449</v>
      </c>
      <c r="AH319" t="s">
        <v>41</v>
      </c>
      <c r="AI319" t="s">
        <v>41</v>
      </c>
      <c r="AJ319" t="s">
        <v>884</v>
      </c>
      <c r="AK319">
        <v>1</v>
      </c>
      <c r="AL319" t="s">
        <v>1511</v>
      </c>
      <c r="AM319" t="s">
        <v>41</v>
      </c>
    </row>
    <row r="320" spans="1:39" hidden="1">
      <c r="A320" t="s">
        <v>901</v>
      </c>
      <c r="B320" t="s">
        <v>806</v>
      </c>
      <c r="C320">
        <v>1</v>
      </c>
      <c r="D320" t="s">
        <v>262</v>
      </c>
      <c r="E320" t="s">
        <v>216</v>
      </c>
      <c r="F320" t="s">
        <v>41</v>
      </c>
      <c r="G320" t="s">
        <v>263</v>
      </c>
      <c r="H320">
        <v>14</v>
      </c>
      <c r="I320">
        <v>200</v>
      </c>
      <c r="J320">
        <v>2000</v>
      </c>
      <c r="K320">
        <v>3700</v>
      </c>
      <c r="L320">
        <v>0</v>
      </c>
      <c r="M320">
        <v>7</v>
      </c>
      <c r="N320">
        <v>125</v>
      </c>
      <c r="O320">
        <v>60</v>
      </c>
      <c r="P320">
        <v>1080</v>
      </c>
      <c r="Q320" s="5">
        <f>unitlist3[[#This Row],[health]]/unitlist3[[#This Row],[buildtime]]</f>
        <v>0.29189189189189191</v>
      </c>
      <c r="R320" s="5">
        <f>unitlist3[[#This Row],[dps]]/unitlist3[[#This Row],[metalcost]]</f>
        <v>0</v>
      </c>
      <c r="W320">
        <v>1</v>
      </c>
      <c r="AA320">
        <v>0</v>
      </c>
      <c r="AB320">
        <v>0</v>
      </c>
      <c r="AF320">
        <v>400</v>
      </c>
      <c r="AG320">
        <v>600</v>
      </c>
      <c r="AH320" t="s">
        <v>41</v>
      </c>
      <c r="AI320" t="s">
        <v>41</v>
      </c>
      <c r="AJ320" t="s">
        <v>902</v>
      </c>
      <c r="AK320">
        <v>1</v>
      </c>
      <c r="AL320" t="s">
        <v>1515</v>
      </c>
      <c r="AM320" t="s">
        <v>41</v>
      </c>
    </row>
    <row r="321" spans="1:39" hidden="1">
      <c r="A321" t="s">
        <v>903</v>
      </c>
      <c r="B321" t="s">
        <v>806</v>
      </c>
      <c r="C321">
        <v>1</v>
      </c>
      <c r="D321" t="s">
        <v>266</v>
      </c>
      <c r="E321" t="s">
        <v>216</v>
      </c>
      <c r="F321" t="s">
        <v>41</v>
      </c>
      <c r="G321" t="s">
        <v>267</v>
      </c>
      <c r="H321">
        <v>16</v>
      </c>
      <c r="I321">
        <v>140</v>
      </c>
      <c r="J321">
        <v>8200</v>
      </c>
      <c r="K321">
        <v>12000</v>
      </c>
      <c r="L321">
        <v>0</v>
      </c>
      <c r="M321">
        <v>20</v>
      </c>
      <c r="N321">
        <v>75</v>
      </c>
      <c r="O321">
        <v>218</v>
      </c>
      <c r="P321">
        <v>435</v>
      </c>
      <c r="Q321" s="5">
        <f>unitlist3[[#This Row],[health]]/unitlist3[[#This Row],[buildtime]]</f>
        <v>3.6249999999999998E-2</v>
      </c>
      <c r="R321" s="5">
        <f>unitlist3[[#This Row],[dps]]/unitlist3[[#This Row],[metalcost]]</f>
        <v>0</v>
      </c>
      <c r="S321">
        <v>1</v>
      </c>
      <c r="U321">
        <v>1</v>
      </c>
      <c r="AA321">
        <v>0</v>
      </c>
      <c r="AB321">
        <v>0</v>
      </c>
      <c r="AF321">
        <v>351</v>
      </c>
      <c r="AG321">
        <v>527</v>
      </c>
      <c r="AH321" t="s">
        <v>41</v>
      </c>
      <c r="AI321" t="s">
        <v>41</v>
      </c>
      <c r="AJ321" t="s">
        <v>904</v>
      </c>
      <c r="AK321">
        <v>1</v>
      </c>
      <c r="AL321" t="s">
        <v>1516</v>
      </c>
      <c r="AM321" t="s">
        <v>41</v>
      </c>
    </row>
    <row r="322" spans="1:39">
      <c r="A322" t="s">
        <v>908</v>
      </c>
      <c r="B322" t="s">
        <v>806</v>
      </c>
      <c r="C322">
        <v>1</v>
      </c>
      <c r="D322" t="s">
        <v>270</v>
      </c>
      <c r="E322" t="s">
        <v>216</v>
      </c>
      <c r="F322" t="s">
        <v>41</v>
      </c>
      <c r="G322" t="s">
        <v>271</v>
      </c>
      <c r="H322">
        <v>25</v>
      </c>
      <c r="I322">
        <v>145</v>
      </c>
      <c r="J322">
        <v>2100</v>
      </c>
      <c r="K322">
        <v>4160</v>
      </c>
      <c r="L322">
        <v>0</v>
      </c>
      <c r="M322">
        <v>10</v>
      </c>
      <c r="N322">
        <v>90</v>
      </c>
      <c r="O322">
        <v>51</v>
      </c>
      <c r="P322">
        <v>1430</v>
      </c>
      <c r="Q322" s="5">
        <f>unitlist3[[#This Row],[health]]/unitlist3[[#This Row],[buildtime]]</f>
        <v>0.34375</v>
      </c>
      <c r="R322" s="5">
        <f>unitlist3[[#This Row],[dps]]/unitlist3[[#This Row],[metalcost]]</f>
        <v>0</v>
      </c>
      <c r="AA322">
        <v>0</v>
      </c>
      <c r="AB322">
        <v>0</v>
      </c>
      <c r="AE322">
        <v>50</v>
      </c>
      <c r="AF322">
        <v>260</v>
      </c>
      <c r="AG322">
        <v>390</v>
      </c>
      <c r="AH322" t="s">
        <v>41</v>
      </c>
      <c r="AI322" t="s">
        <v>41</v>
      </c>
      <c r="AJ322" t="s">
        <v>909</v>
      </c>
      <c r="AK322">
        <v>1</v>
      </c>
      <c r="AL322" t="s">
        <v>1518</v>
      </c>
      <c r="AM322" t="s">
        <v>41</v>
      </c>
    </row>
    <row r="323" spans="1:39" hidden="1">
      <c r="A323" t="s">
        <v>921</v>
      </c>
      <c r="B323" t="s">
        <v>806</v>
      </c>
      <c r="C323">
        <v>1</v>
      </c>
      <c r="D323" t="s">
        <v>293</v>
      </c>
      <c r="E323" t="s">
        <v>294</v>
      </c>
      <c r="F323" t="s">
        <v>41</v>
      </c>
      <c r="G323" t="s">
        <v>238</v>
      </c>
      <c r="H323">
        <v>10</v>
      </c>
      <c r="I323">
        <v>8</v>
      </c>
      <c r="J323">
        <v>0</v>
      </c>
      <c r="K323">
        <v>255</v>
      </c>
      <c r="L323">
        <v>0</v>
      </c>
      <c r="M323">
        <v>0</v>
      </c>
      <c r="N323">
        <v>0</v>
      </c>
      <c r="O323">
        <v>0</v>
      </c>
      <c r="P323">
        <v>2800</v>
      </c>
      <c r="Q323" s="5">
        <f>unitlist3[[#This Row],[health]]/unitlist3[[#This Row],[buildtime]]</f>
        <v>10.980392156862745</v>
      </c>
      <c r="R323" s="5">
        <f>unitlist3[[#This Row],[dps]]/unitlist3[[#This Row],[metalcost]]</f>
        <v>0</v>
      </c>
      <c r="Z323">
        <v>1</v>
      </c>
      <c r="AA323">
        <v>0</v>
      </c>
      <c r="AB323">
        <v>0</v>
      </c>
      <c r="AF323">
        <v>1</v>
      </c>
      <c r="AG323">
        <v>2</v>
      </c>
      <c r="AH323" t="s">
        <v>41</v>
      </c>
      <c r="AI323" t="s">
        <v>41</v>
      </c>
      <c r="AJ323" t="s">
        <v>41</v>
      </c>
      <c r="AK323">
        <v>1</v>
      </c>
      <c r="AL323" t="s">
        <v>1523</v>
      </c>
      <c r="AM323" t="s">
        <v>41</v>
      </c>
    </row>
    <row r="324" spans="1:39" hidden="1">
      <c r="A324" t="s">
        <v>926</v>
      </c>
      <c r="B324" t="s">
        <v>806</v>
      </c>
      <c r="C324">
        <v>1</v>
      </c>
      <c r="D324" t="s">
        <v>306</v>
      </c>
      <c r="E324" t="s">
        <v>307</v>
      </c>
      <c r="F324" t="s">
        <v>41</v>
      </c>
      <c r="G324" t="s">
        <v>308</v>
      </c>
      <c r="H324">
        <v>42</v>
      </c>
      <c r="I324">
        <v>175</v>
      </c>
      <c r="J324">
        <v>1800</v>
      </c>
      <c r="K324">
        <v>4260</v>
      </c>
      <c r="L324">
        <v>0</v>
      </c>
      <c r="M324">
        <v>0</v>
      </c>
      <c r="N324">
        <v>0</v>
      </c>
      <c r="O324">
        <v>0</v>
      </c>
      <c r="P324">
        <v>2000</v>
      </c>
      <c r="Q324" s="5">
        <f>unitlist3[[#This Row],[health]]/unitlist3[[#This Row],[buildtime]]</f>
        <v>0.46948356807511737</v>
      </c>
      <c r="R324" s="5">
        <f>unitlist3[[#This Row],[dps]]/unitlist3[[#This Row],[metalcost]]</f>
        <v>0</v>
      </c>
      <c r="Z324">
        <v>1</v>
      </c>
      <c r="AA324">
        <v>0</v>
      </c>
      <c r="AB324">
        <v>0</v>
      </c>
      <c r="AF324">
        <v>273</v>
      </c>
      <c r="AG324">
        <v>410</v>
      </c>
      <c r="AH324" t="s">
        <v>41</v>
      </c>
      <c r="AI324" t="s">
        <v>41</v>
      </c>
      <c r="AJ324" t="s">
        <v>41</v>
      </c>
      <c r="AK324">
        <v>1</v>
      </c>
      <c r="AL324" t="s">
        <v>1526</v>
      </c>
      <c r="AM324" t="s">
        <v>41</v>
      </c>
    </row>
    <row r="325" spans="1:39">
      <c r="A325" t="s">
        <v>930</v>
      </c>
      <c r="B325" t="s">
        <v>806</v>
      </c>
      <c r="C325">
        <v>2</v>
      </c>
      <c r="D325" t="s">
        <v>931</v>
      </c>
      <c r="E325" t="s">
        <v>433</v>
      </c>
      <c r="F325" t="s">
        <v>41</v>
      </c>
      <c r="G325" t="s">
        <v>434</v>
      </c>
      <c r="H325">
        <v>47</v>
      </c>
      <c r="I325">
        <v>105</v>
      </c>
      <c r="J325">
        <v>1900</v>
      </c>
      <c r="K325">
        <v>6400</v>
      </c>
      <c r="L325">
        <v>0</v>
      </c>
      <c r="M325">
        <v>0</v>
      </c>
      <c r="N325">
        <v>0</v>
      </c>
      <c r="O325">
        <v>41</v>
      </c>
      <c r="P325">
        <v>580</v>
      </c>
      <c r="Q325" s="5">
        <f>unitlist3[[#This Row],[health]]/unitlist3[[#This Row],[buildtime]]</f>
        <v>9.0624999999999997E-2</v>
      </c>
      <c r="R325" s="5">
        <f>unitlist3[[#This Row],[dps]]/unitlist3[[#This Row],[metalcost]]</f>
        <v>0</v>
      </c>
      <c r="AA325">
        <v>0</v>
      </c>
      <c r="AB325">
        <v>0</v>
      </c>
      <c r="AC325">
        <v>450</v>
      </c>
      <c r="AF325">
        <v>299</v>
      </c>
      <c r="AG325">
        <v>449</v>
      </c>
      <c r="AH325" t="s">
        <v>148</v>
      </c>
      <c r="AI325" t="s">
        <v>41</v>
      </c>
      <c r="AJ325" t="s">
        <v>41</v>
      </c>
      <c r="AK325">
        <v>1</v>
      </c>
      <c r="AL325" t="s">
        <v>1528</v>
      </c>
      <c r="AM325" t="s">
        <v>41</v>
      </c>
    </row>
    <row r="326" spans="1:39" hidden="1">
      <c r="A326" t="s">
        <v>936</v>
      </c>
      <c r="B326" t="s">
        <v>806</v>
      </c>
      <c r="C326">
        <v>1</v>
      </c>
      <c r="D326" t="s">
        <v>310</v>
      </c>
      <c r="E326" t="s">
        <v>311</v>
      </c>
      <c r="F326" t="s">
        <v>41</v>
      </c>
      <c r="G326" t="s">
        <v>312</v>
      </c>
      <c r="H326">
        <v>21</v>
      </c>
      <c r="I326">
        <v>32</v>
      </c>
      <c r="J326">
        <v>850</v>
      </c>
      <c r="K326">
        <v>750</v>
      </c>
      <c r="L326">
        <v>0</v>
      </c>
      <c r="M326">
        <v>0</v>
      </c>
      <c r="N326">
        <v>0</v>
      </c>
      <c r="O326">
        <v>0</v>
      </c>
      <c r="P326">
        <v>280</v>
      </c>
      <c r="Q326" s="5">
        <f>unitlist3[[#This Row],[health]]/unitlist3[[#This Row],[buildtime]]</f>
        <v>0.37333333333333335</v>
      </c>
      <c r="R326" s="5">
        <f>unitlist3[[#This Row],[dps]]/unitlist3[[#This Row],[metalcost]]</f>
        <v>0</v>
      </c>
      <c r="Z326">
        <v>1</v>
      </c>
      <c r="AA326">
        <v>0</v>
      </c>
      <c r="AB326">
        <v>0</v>
      </c>
      <c r="AF326">
        <v>540</v>
      </c>
      <c r="AG326">
        <v>810</v>
      </c>
      <c r="AH326" t="s">
        <v>109</v>
      </c>
      <c r="AI326" t="s">
        <v>41</v>
      </c>
      <c r="AJ326" t="s">
        <v>41</v>
      </c>
      <c r="AK326">
        <v>1</v>
      </c>
      <c r="AL326" t="s">
        <v>1530</v>
      </c>
      <c r="AM326" t="s">
        <v>41</v>
      </c>
    </row>
    <row r="327" spans="1:39" hidden="1">
      <c r="A327" t="s">
        <v>937</v>
      </c>
      <c r="B327" t="s">
        <v>806</v>
      </c>
      <c r="C327">
        <v>2</v>
      </c>
      <c r="D327" t="s">
        <v>153</v>
      </c>
      <c r="E327" t="s">
        <v>154</v>
      </c>
      <c r="F327" t="s">
        <v>41</v>
      </c>
      <c r="G327" t="s">
        <v>843</v>
      </c>
      <c r="H327">
        <v>33</v>
      </c>
      <c r="I327">
        <v>400</v>
      </c>
      <c r="J327">
        <v>4400</v>
      </c>
      <c r="K327">
        <v>9300</v>
      </c>
      <c r="L327">
        <v>0</v>
      </c>
      <c r="M327">
        <v>0</v>
      </c>
      <c r="N327">
        <v>1000</v>
      </c>
      <c r="O327">
        <v>0</v>
      </c>
      <c r="P327">
        <v>1780</v>
      </c>
      <c r="Q327" s="5">
        <f>unitlist3[[#This Row],[health]]/unitlist3[[#This Row],[buildtime]]</f>
        <v>0.1913978494623656</v>
      </c>
      <c r="R327" s="5">
        <f>unitlist3[[#This Row],[dps]]/unitlist3[[#This Row],[metalcost]]</f>
        <v>0</v>
      </c>
      <c r="Z327">
        <v>1</v>
      </c>
      <c r="AA327">
        <v>0</v>
      </c>
      <c r="AB327">
        <v>0</v>
      </c>
      <c r="AF327">
        <v>358</v>
      </c>
      <c r="AG327">
        <v>536</v>
      </c>
      <c r="AH327" t="s">
        <v>156</v>
      </c>
      <c r="AI327" t="s">
        <v>41</v>
      </c>
      <c r="AJ327" t="s">
        <v>41</v>
      </c>
      <c r="AK327">
        <v>1</v>
      </c>
      <c r="AL327" t="s">
        <v>1531</v>
      </c>
      <c r="AM327" t="s">
        <v>41</v>
      </c>
    </row>
    <row r="328" spans="1:39">
      <c r="A328" t="s">
        <v>938</v>
      </c>
      <c r="B328" t="s">
        <v>806</v>
      </c>
      <c r="C328">
        <v>2</v>
      </c>
      <c r="D328" t="s">
        <v>939</v>
      </c>
      <c r="E328" t="s">
        <v>250</v>
      </c>
      <c r="F328" t="s">
        <v>41</v>
      </c>
      <c r="G328" t="s">
        <v>940</v>
      </c>
      <c r="H328">
        <v>41</v>
      </c>
      <c r="I328">
        <v>210</v>
      </c>
      <c r="J328">
        <v>3800</v>
      </c>
      <c r="K328">
        <v>6500</v>
      </c>
      <c r="L328">
        <v>0</v>
      </c>
      <c r="M328">
        <v>15</v>
      </c>
      <c r="N328">
        <v>125</v>
      </c>
      <c r="O328">
        <v>90</v>
      </c>
      <c r="P328">
        <v>830</v>
      </c>
      <c r="Q328" s="5">
        <f>unitlist3[[#This Row],[health]]/unitlist3[[#This Row],[buildtime]]</f>
        <v>0.12769230769230769</v>
      </c>
      <c r="R328" s="5">
        <f>unitlist3[[#This Row],[dps]]/unitlist3[[#This Row],[metalcost]]</f>
        <v>0</v>
      </c>
      <c r="AA328">
        <v>0</v>
      </c>
      <c r="AB328">
        <v>0</v>
      </c>
      <c r="AF328">
        <v>520</v>
      </c>
      <c r="AG328">
        <v>780</v>
      </c>
      <c r="AH328" t="s">
        <v>41</v>
      </c>
      <c r="AI328" t="s">
        <v>41</v>
      </c>
      <c r="AJ328" t="s">
        <v>941</v>
      </c>
      <c r="AK328">
        <v>1</v>
      </c>
      <c r="AL328" t="s">
        <v>1532</v>
      </c>
      <c r="AM328" t="s">
        <v>41</v>
      </c>
    </row>
    <row r="329" spans="1:39" hidden="1">
      <c r="A329" t="s">
        <v>942</v>
      </c>
      <c r="B329" t="s">
        <v>806</v>
      </c>
      <c r="C329">
        <v>2</v>
      </c>
      <c r="D329" t="s">
        <v>324</v>
      </c>
      <c r="E329" t="s">
        <v>325</v>
      </c>
      <c r="F329" t="s">
        <v>41</v>
      </c>
      <c r="G329" t="s">
        <v>326</v>
      </c>
      <c r="H329">
        <v>24</v>
      </c>
      <c r="I329">
        <v>800</v>
      </c>
      <c r="J329">
        <v>7500</v>
      </c>
      <c r="K329">
        <v>10300</v>
      </c>
      <c r="L329">
        <v>0</v>
      </c>
      <c r="M329">
        <v>0</v>
      </c>
      <c r="N329">
        <v>0</v>
      </c>
      <c r="O329">
        <v>0</v>
      </c>
      <c r="P329">
        <v>1530</v>
      </c>
      <c r="Q329" s="5">
        <f>unitlist3[[#This Row],[health]]/unitlist3[[#This Row],[buildtime]]</f>
        <v>0.14854368932038836</v>
      </c>
      <c r="R329" s="5">
        <f>unitlist3[[#This Row],[dps]]/unitlist3[[#This Row],[metalcost]]</f>
        <v>0</v>
      </c>
      <c r="Z329">
        <v>1</v>
      </c>
      <c r="AA329">
        <v>0</v>
      </c>
      <c r="AB329">
        <v>0</v>
      </c>
      <c r="AF329">
        <v>273</v>
      </c>
      <c r="AG329">
        <v>410</v>
      </c>
      <c r="AH329" t="s">
        <v>41</v>
      </c>
      <c r="AI329" t="s">
        <v>41</v>
      </c>
      <c r="AJ329" t="s">
        <v>41</v>
      </c>
      <c r="AK329">
        <v>1</v>
      </c>
      <c r="AL329" t="s">
        <v>1533</v>
      </c>
      <c r="AM329" t="s">
        <v>41</v>
      </c>
    </row>
    <row r="330" spans="1:39" hidden="1">
      <c r="A330" t="s">
        <v>949</v>
      </c>
      <c r="B330" t="s">
        <v>806</v>
      </c>
      <c r="C330">
        <v>1</v>
      </c>
      <c r="D330" t="s">
        <v>336</v>
      </c>
      <c r="E330" t="s">
        <v>337</v>
      </c>
      <c r="F330" t="s">
        <v>41</v>
      </c>
      <c r="G330" t="s">
        <v>238</v>
      </c>
      <c r="H330">
        <v>29</v>
      </c>
      <c r="I330">
        <v>15</v>
      </c>
      <c r="J330">
        <v>0</v>
      </c>
      <c r="K330">
        <v>400</v>
      </c>
      <c r="L330">
        <v>0</v>
      </c>
      <c r="M330">
        <v>0</v>
      </c>
      <c r="N330">
        <v>0</v>
      </c>
      <c r="O330">
        <v>0</v>
      </c>
      <c r="P330">
        <v>4450</v>
      </c>
      <c r="Q330" s="5">
        <f>unitlist3[[#This Row],[health]]/unitlist3[[#This Row],[buildtime]]</f>
        <v>11.125</v>
      </c>
      <c r="R330" s="5">
        <f>unitlist3[[#This Row],[dps]]/unitlist3[[#This Row],[metalcost]]</f>
        <v>0</v>
      </c>
      <c r="Z330">
        <v>1</v>
      </c>
      <c r="AA330">
        <v>0</v>
      </c>
      <c r="AB330">
        <v>0</v>
      </c>
      <c r="AF330">
        <v>1</v>
      </c>
      <c r="AG330">
        <v>2</v>
      </c>
      <c r="AH330" t="s">
        <v>41</v>
      </c>
      <c r="AI330" t="s">
        <v>41</v>
      </c>
      <c r="AJ330" t="s">
        <v>41</v>
      </c>
      <c r="AK330">
        <v>1</v>
      </c>
      <c r="AL330" t="s">
        <v>1536</v>
      </c>
      <c r="AM330" t="s">
        <v>41</v>
      </c>
    </row>
    <row r="331" spans="1:39" hidden="1">
      <c r="A331" t="s">
        <v>952</v>
      </c>
      <c r="B331" t="s">
        <v>806</v>
      </c>
      <c r="C331">
        <v>1</v>
      </c>
      <c r="D331" t="s">
        <v>351</v>
      </c>
      <c r="E331" t="s">
        <v>352</v>
      </c>
      <c r="F331" t="s">
        <v>41</v>
      </c>
      <c r="G331" t="s">
        <v>353</v>
      </c>
      <c r="H331">
        <v>40</v>
      </c>
      <c r="I331">
        <v>900</v>
      </c>
      <c r="J331">
        <v>3000</v>
      </c>
      <c r="K331">
        <v>11000</v>
      </c>
      <c r="L331">
        <v>0</v>
      </c>
      <c r="M331">
        <v>0</v>
      </c>
      <c r="N331">
        <v>100</v>
      </c>
      <c r="O331">
        <v>0</v>
      </c>
      <c r="P331">
        <v>3750</v>
      </c>
      <c r="Q331" s="5">
        <f>unitlist3[[#This Row],[health]]/unitlist3[[#This Row],[buildtime]]</f>
        <v>0.34090909090909088</v>
      </c>
      <c r="R331" s="5">
        <f>unitlist3[[#This Row],[dps]]/unitlist3[[#This Row],[metalcost]]</f>
        <v>0</v>
      </c>
      <c r="Z331">
        <v>1</v>
      </c>
      <c r="AA331">
        <v>0</v>
      </c>
      <c r="AB331">
        <v>0</v>
      </c>
      <c r="AF331">
        <v>312</v>
      </c>
      <c r="AG331">
        <v>468</v>
      </c>
      <c r="AH331" t="s">
        <v>41</v>
      </c>
      <c r="AI331" t="s">
        <v>41</v>
      </c>
      <c r="AJ331" t="s">
        <v>953</v>
      </c>
      <c r="AK331">
        <v>1</v>
      </c>
      <c r="AL331" t="s">
        <v>1538</v>
      </c>
      <c r="AM331" t="s">
        <v>41</v>
      </c>
    </row>
    <row r="332" spans="1:39" hidden="1">
      <c r="A332" t="s">
        <v>954</v>
      </c>
      <c r="B332" t="s">
        <v>806</v>
      </c>
      <c r="C332">
        <v>1</v>
      </c>
      <c r="D332" t="s">
        <v>955</v>
      </c>
      <c r="E332" t="s">
        <v>572</v>
      </c>
      <c r="F332" t="s">
        <v>41</v>
      </c>
      <c r="G332" t="s">
        <v>573</v>
      </c>
      <c r="H332">
        <v>9</v>
      </c>
      <c r="I332">
        <v>51</v>
      </c>
      <c r="J332">
        <v>1450</v>
      </c>
      <c r="K332">
        <v>2400</v>
      </c>
      <c r="L332">
        <v>0</v>
      </c>
      <c r="M332">
        <v>0</v>
      </c>
      <c r="N332">
        <v>0</v>
      </c>
      <c r="O332">
        <v>360</v>
      </c>
      <c r="P332">
        <v>100</v>
      </c>
      <c r="Q332" s="5">
        <f>unitlist3[[#This Row],[health]]/unitlist3[[#This Row],[buildtime]]</f>
        <v>4.1666666666666664E-2</v>
      </c>
      <c r="R332" s="5">
        <f>unitlist3[[#This Row],[dps]]/unitlist3[[#This Row],[metalcost]]</f>
        <v>0</v>
      </c>
      <c r="U332">
        <v>1</v>
      </c>
      <c r="AA332">
        <v>0</v>
      </c>
      <c r="AB332">
        <v>0</v>
      </c>
      <c r="AE332">
        <v>1120</v>
      </c>
      <c r="AF332">
        <v>835</v>
      </c>
      <c r="AG332">
        <v>1253</v>
      </c>
      <c r="AH332" t="s">
        <v>48</v>
      </c>
      <c r="AI332" t="s">
        <v>41</v>
      </c>
      <c r="AJ332" t="s">
        <v>41</v>
      </c>
      <c r="AK332">
        <v>1</v>
      </c>
      <c r="AL332" t="s">
        <v>1539</v>
      </c>
      <c r="AM332" t="s">
        <v>41</v>
      </c>
    </row>
    <row r="333" spans="1:39" hidden="1">
      <c r="A333" t="s">
        <v>961</v>
      </c>
      <c r="B333" t="s">
        <v>806</v>
      </c>
      <c r="C333">
        <v>1</v>
      </c>
      <c r="D333" t="s">
        <v>379</v>
      </c>
      <c r="E333" t="s">
        <v>493</v>
      </c>
      <c r="F333" t="s">
        <v>41</v>
      </c>
      <c r="G333" t="s">
        <v>380</v>
      </c>
      <c r="H333">
        <v>32</v>
      </c>
      <c r="I333">
        <v>1</v>
      </c>
      <c r="J333">
        <v>1250</v>
      </c>
      <c r="K333">
        <v>2680</v>
      </c>
      <c r="L333">
        <v>0</v>
      </c>
      <c r="M333">
        <v>0</v>
      </c>
      <c r="N333">
        <v>0</v>
      </c>
      <c r="O333">
        <v>0</v>
      </c>
      <c r="P333">
        <v>167</v>
      </c>
      <c r="Q333" s="5">
        <f>unitlist3[[#This Row],[health]]/unitlist3[[#This Row],[buildtime]]</f>
        <v>6.2313432835820894E-2</v>
      </c>
      <c r="R333" s="5">
        <f>unitlist3[[#This Row],[dps]]/unitlist3[[#This Row],[metalcost]]</f>
        <v>0</v>
      </c>
      <c r="Z333">
        <v>1</v>
      </c>
      <c r="AA333">
        <v>0</v>
      </c>
      <c r="AB333">
        <v>0</v>
      </c>
      <c r="AF333">
        <v>273</v>
      </c>
      <c r="AG333">
        <v>410</v>
      </c>
      <c r="AH333" t="s">
        <v>41</v>
      </c>
      <c r="AI333" t="s">
        <v>41</v>
      </c>
      <c r="AJ333" t="s">
        <v>41</v>
      </c>
      <c r="AK333">
        <v>1</v>
      </c>
      <c r="AL333" t="s">
        <v>1543</v>
      </c>
      <c r="AM333" t="s">
        <v>41</v>
      </c>
    </row>
    <row r="334" spans="1:39" hidden="1">
      <c r="A334" t="s">
        <v>963</v>
      </c>
      <c r="B334" t="s">
        <v>806</v>
      </c>
      <c r="C334">
        <v>2</v>
      </c>
      <c r="D334" t="s">
        <v>382</v>
      </c>
      <c r="E334" t="s">
        <v>383</v>
      </c>
      <c r="F334" t="s">
        <v>41</v>
      </c>
      <c r="G334" t="s">
        <v>238</v>
      </c>
      <c r="H334">
        <v>55</v>
      </c>
      <c r="I334">
        <v>40</v>
      </c>
      <c r="J334">
        <v>500</v>
      </c>
      <c r="K334">
        <v>900</v>
      </c>
      <c r="L334">
        <v>0</v>
      </c>
      <c r="M334">
        <v>0</v>
      </c>
      <c r="N334">
        <v>0</v>
      </c>
      <c r="O334">
        <v>0</v>
      </c>
      <c r="P334">
        <v>8900</v>
      </c>
      <c r="Q334" s="5">
        <f>unitlist3[[#This Row],[health]]/unitlist3[[#This Row],[buildtime]]</f>
        <v>9.8888888888888893</v>
      </c>
      <c r="R334" s="5">
        <f>unitlist3[[#This Row],[dps]]/unitlist3[[#This Row],[metalcost]]</f>
        <v>0</v>
      </c>
      <c r="Z334">
        <v>1</v>
      </c>
      <c r="AA334">
        <v>0</v>
      </c>
      <c r="AB334">
        <v>0</v>
      </c>
      <c r="AF334">
        <v>1</v>
      </c>
      <c r="AG334">
        <v>2</v>
      </c>
      <c r="AH334" t="s">
        <v>41</v>
      </c>
      <c r="AI334" t="s">
        <v>41</v>
      </c>
      <c r="AJ334" t="s">
        <v>41</v>
      </c>
      <c r="AK334">
        <v>1</v>
      </c>
      <c r="AL334" t="s">
        <v>1544</v>
      </c>
      <c r="AM334" t="s">
        <v>41</v>
      </c>
    </row>
    <row r="335" spans="1:39" hidden="1">
      <c r="A335" t="s">
        <v>964</v>
      </c>
      <c r="B335" t="s">
        <v>806</v>
      </c>
      <c r="C335">
        <v>1</v>
      </c>
      <c r="D335" t="s">
        <v>385</v>
      </c>
      <c r="E335" t="s">
        <v>386</v>
      </c>
      <c r="F335" t="s">
        <v>41</v>
      </c>
      <c r="G335" t="s">
        <v>387</v>
      </c>
      <c r="H335">
        <v>84</v>
      </c>
      <c r="I335">
        <v>130</v>
      </c>
      <c r="J335">
        <v>1000</v>
      </c>
      <c r="K335">
        <v>1800</v>
      </c>
      <c r="L335">
        <v>0</v>
      </c>
      <c r="M335">
        <v>0</v>
      </c>
      <c r="N335">
        <v>0</v>
      </c>
      <c r="O335">
        <v>0</v>
      </c>
      <c r="P335">
        <v>114</v>
      </c>
      <c r="Q335" s="5">
        <f>unitlist3[[#This Row],[health]]/unitlist3[[#This Row],[buildtime]]</f>
        <v>6.3333333333333339E-2</v>
      </c>
      <c r="R335" s="5">
        <f>unitlist3[[#This Row],[dps]]/unitlist3[[#This Row],[metalcost]]</f>
        <v>0</v>
      </c>
      <c r="Z335">
        <v>1</v>
      </c>
      <c r="AA335">
        <v>0</v>
      </c>
      <c r="AB335">
        <v>0</v>
      </c>
      <c r="AD335">
        <v>900</v>
      </c>
      <c r="AE335">
        <v>2100</v>
      </c>
      <c r="AF335">
        <v>740</v>
      </c>
      <c r="AG335">
        <v>1110</v>
      </c>
      <c r="AH335" t="s">
        <v>48</v>
      </c>
      <c r="AI335" t="s">
        <v>41</v>
      </c>
      <c r="AJ335" t="s">
        <v>41</v>
      </c>
      <c r="AK335">
        <v>1</v>
      </c>
      <c r="AL335" t="s">
        <v>1545</v>
      </c>
      <c r="AM335" t="s">
        <v>41</v>
      </c>
    </row>
    <row r="336" spans="1:39" hidden="1">
      <c r="A336" t="s">
        <v>970</v>
      </c>
      <c r="B336" t="s">
        <v>806</v>
      </c>
      <c r="C336">
        <v>2</v>
      </c>
      <c r="D336" t="s">
        <v>393</v>
      </c>
      <c r="E336" t="s">
        <v>971</v>
      </c>
      <c r="F336" t="s">
        <v>41</v>
      </c>
      <c r="G336" t="s">
        <v>234</v>
      </c>
      <c r="H336">
        <v>70</v>
      </c>
      <c r="I336">
        <v>4500</v>
      </c>
      <c r="J336">
        <v>26000</v>
      </c>
      <c r="K336">
        <v>75400</v>
      </c>
      <c r="L336">
        <v>0</v>
      </c>
      <c r="M336">
        <v>1100</v>
      </c>
      <c r="N336">
        <v>0</v>
      </c>
      <c r="O336">
        <v>0</v>
      </c>
      <c r="P336">
        <v>5000</v>
      </c>
      <c r="Q336" s="5">
        <f>unitlist3[[#This Row],[health]]/unitlist3[[#This Row],[buildtime]]</f>
        <v>6.6312997347480113E-2</v>
      </c>
      <c r="R336" s="5">
        <f>unitlist3[[#This Row],[dps]]/unitlist3[[#This Row],[metalcost]]</f>
        <v>0</v>
      </c>
      <c r="Z336">
        <v>1</v>
      </c>
      <c r="AA336">
        <v>0</v>
      </c>
      <c r="AB336">
        <v>0</v>
      </c>
      <c r="AF336">
        <v>273</v>
      </c>
      <c r="AG336">
        <v>410</v>
      </c>
      <c r="AH336" t="s">
        <v>41</v>
      </c>
      <c r="AI336" t="s">
        <v>41</v>
      </c>
      <c r="AJ336" t="s">
        <v>41</v>
      </c>
      <c r="AK336">
        <v>1</v>
      </c>
      <c r="AL336" t="s">
        <v>1549</v>
      </c>
      <c r="AM336" t="s">
        <v>41</v>
      </c>
    </row>
    <row r="337" spans="1:39" hidden="1">
      <c r="A337" t="s">
        <v>972</v>
      </c>
      <c r="B337" t="s">
        <v>806</v>
      </c>
      <c r="C337">
        <v>3</v>
      </c>
      <c r="D337" t="s">
        <v>674</v>
      </c>
      <c r="E337" t="s">
        <v>675</v>
      </c>
      <c r="F337" t="s">
        <v>41</v>
      </c>
      <c r="G337" t="s">
        <v>676</v>
      </c>
      <c r="H337">
        <v>160</v>
      </c>
      <c r="I337">
        <v>8400</v>
      </c>
      <c r="J337">
        <v>62000</v>
      </c>
      <c r="K337">
        <v>67300</v>
      </c>
      <c r="L337">
        <v>0</v>
      </c>
      <c r="M337">
        <v>0</v>
      </c>
      <c r="N337">
        <v>600</v>
      </c>
      <c r="O337">
        <v>0</v>
      </c>
      <c r="P337">
        <v>17800</v>
      </c>
      <c r="Q337" s="5">
        <f>unitlist3[[#This Row],[health]]/unitlist3[[#This Row],[buildtime]]</f>
        <v>0.26448736998514116</v>
      </c>
      <c r="R337" s="5">
        <f>unitlist3[[#This Row],[dps]]/unitlist3[[#This Row],[metalcost]]</f>
        <v>0</v>
      </c>
      <c r="Z337">
        <v>1</v>
      </c>
      <c r="AA337">
        <v>0</v>
      </c>
      <c r="AB337">
        <v>0</v>
      </c>
      <c r="AF337">
        <v>273</v>
      </c>
      <c r="AG337">
        <v>410</v>
      </c>
      <c r="AH337" t="s">
        <v>41</v>
      </c>
      <c r="AI337" t="s">
        <v>41</v>
      </c>
      <c r="AJ337" t="s">
        <v>973</v>
      </c>
      <c r="AK337">
        <v>1</v>
      </c>
      <c r="AL337" t="s">
        <v>1550</v>
      </c>
      <c r="AM337" t="s">
        <v>41</v>
      </c>
    </row>
    <row r="338" spans="1:39" hidden="1">
      <c r="A338" t="s">
        <v>974</v>
      </c>
      <c r="B338" t="s">
        <v>806</v>
      </c>
      <c r="C338">
        <v>3</v>
      </c>
      <c r="D338" t="s">
        <v>674</v>
      </c>
      <c r="E338" t="s">
        <v>679</v>
      </c>
      <c r="F338" t="s">
        <v>41</v>
      </c>
      <c r="G338" t="s">
        <v>680</v>
      </c>
      <c r="H338">
        <v>160</v>
      </c>
      <c r="I338">
        <v>8350</v>
      </c>
      <c r="J338">
        <v>62500</v>
      </c>
      <c r="K338">
        <v>67300</v>
      </c>
      <c r="L338">
        <v>0</v>
      </c>
      <c r="M338">
        <v>0</v>
      </c>
      <c r="N338">
        <v>600</v>
      </c>
      <c r="O338">
        <v>0</v>
      </c>
      <c r="P338">
        <v>17800</v>
      </c>
      <c r="Q338" s="5">
        <f>unitlist3[[#This Row],[health]]/unitlist3[[#This Row],[buildtime]]</f>
        <v>0.26448736998514116</v>
      </c>
      <c r="R338" s="5">
        <f>unitlist3[[#This Row],[dps]]/unitlist3[[#This Row],[metalcost]]</f>
        <v>0</v>
      </c>
      <c r="T338">
        <v>1</v>
      </c>
      <c r="Z338">
        <v>1</v>
      </c>
      <c r="AA338">
        <v>0</v>
      </c>
      <c r="AB338">
        <v>0</v>
      </c>
      <c r="AF338">
        <v>273</v>
      </c>
      <c r="AG338">
        <v>410</v>
      </c>
      <c r="AH338" t="s">
        <v>41</v>
      </c>
      <c r="AI338" t="s">
        <v>41</v>
      </c>
      <c r="AJ338" t="s">
        <v>975</v>
      </c>
      <c r="AK338">
        <v>1</v>
      </c>
      <c r="AL338" t="s">
        <v>1551</v>
      </c>
      <c r="AM338" t="s">
        <v>41</v>
      </c>
    </row>
    <row r="339" spans="1:39" hidden="1">
      <c r="A339" t="s">
        <v>983</v>
      </c>
      <c r="B339" t="s">
        <v>806</v>
      </c>
      <c r="C339">
        <v>1</v>
      </c>
      <c r="D339" t="s">
        <v>401</v>
      </c>
      <c r="E339" t="s">
        <v>402</v>
      </c>
      <c r="F339" t="s">
        <v>41</v>
      </c>
      <c r="G339" t="s">
        <v>403</v>
      </c>
      <c r="H339">
        <v>60</v>
      </c>
      <c r="I339">
        <v>540</v>
      </c>
      <c r="J339">
        <v>13000</v>
      </c>
      <c r="K339">
        <v>12900</v>
      </c>
      <c r="L339">
        <v>0</v>
      </c>
      <c r="M339">
        <v>300</v>
      </c>
      <c r="N339">
        <v>0</v>
      </c>
      <c r="O339">
        <v>0</v>
      </c>
      <c r="P339">
        <v>2050</v>
      </c>
      <c r="Q339" s="5">
        <f>unitlist3[[#This Row],[health]]/unitlist3[[#This Row],[buildtime]]</f>
        <v>0.15891472868217055</v>
      </c>
      <c r="R339" s="5">
        <f>unitlist3[[#This Row],[dps]]/unitlist3[[#This Row],[metalcost]]</f>
        <v>0</v>
      </c>
      <c r="Z339">
        <v>1</v>
      </c>
      <c r="AA339">
        <v>0</v>
      </c>
      <c r="AB339">
        <v>0</v>
      </c>
      <c r="AF339">
        <v>273</v>
      </c>
      <c r="AG339">
        <v>410</v>
      </c>
      <c r="AH339" t="s">
        <v>41</v>
      </c>
      <c r="AI339" t="s">
        <v>41</v>
      </c>
      <c r="AJ339" t="s">
        <v>41</v>
      </c>
      <c r="AK339">
        <v>1</v>
      </c>
      <c r="AL339" t="s">
        <v>1555</v>
      </c>
      <c r="AM339" t="s">
        <v>41</v>
      </c>
    </row>
    <row r="340" spans="1:39" hidden="1">
      <c r="A340" t="s">
        <v>997</v>
      </c>
      <c r="B340" t="s">
        <v>806</v>
      </c>
      <c r="C340">
        <v>1</v>
      </c>
      <c r="D340" t="s">
        <v>430</v>
      </c>
      <c r="E340" t="s">
        <v>352</v>
      </c>
      <c r="F340" t="s">
        <v>41</v>
      </c>
      <c r="G340" t="s">
        <v>353</v>
      </c>
      <c r="H340">
        <v>29</v>
      </c>
      <c r="I340">
        <v>900</v>
      </c>
      <c r="J340">
        <v>3000</v>
      </c>
      <c r="K340">
        <v>11000</v>
      </c>
      <c r="L340">
        <v>0</v>
      </c>
      <c r="M340">
        <v>0</v>
      </c>
      <c r="N340">
        <v>100</v>
      </c>
      <c r="O340">
        <v>0</v>
      </c>
      <c r="P340">
        <v>3750</v>
      </c>
      <c r="Q340" s="5">
        <f>unitlist3[[#This Row],[health]]/unitlist3[[#This Row],[buildtime]]</f>
        <v>0.34090909090909088</v>
      </c>
      <c r="R340" s="5">
        <f>unitlist3[[#This Row],[dps]]/unitlist3[[#This Row],[metalcost]]</f>
        <v>0</v>
      </c>
      <c r="Z340">
        <v>1</v>
      </c>
      <c r="AA340">
        <v>0</v>
      </c>
      <c r="AB340">
        <v>0</v>
      </c>
      <c r="AF340">
        <v>312</v>
      </c>
      <c r="AG340">
        <v>468</v>
      </c>
      <c r="AH340" t="s">
        <v>41</v>
      </c>
      <c r="AI340" t="s">
        <v>41</v>
      </c>
      <c r="AJ340" t="s">
        <v>953</v>
      </c>
      <c r="AK340">
        <v>1</v>
      </c>
      <c r="AL340" t="s">
        <v>1560</v>
      </c>
      <c r="AM340" t="s">
        <v>41</v>
      </c>
    </row>
    <row r="341" spans="1:39" hidden="1">
      <c r="A341" t="s">
        <v>1001</v>
      </c>
      <c r="B341" t="s">
        <v>806</v>
      </c>
      <c r="C341">
        <v>1</v>
      </c>
      <c r="D341" t="s">
        <v>1002</v>
      </c>
      <c r="E341" t="s">
        <v>659</v>
      </c>
      <c r="F341" t="s">
        <v>41</v>
      </c>
      <c r="G341" t="s">
        <v>660</v>
      </c>
      <c r="H341">
        <v>18</v>
      </c>
      <c r="I341">
        <v>130</v>
      </c>
      <c r="J341">
        <v>6900</v>
      </c>
      <c r="K341">
        <v>9500</v>
      </c>
      <c r="L341">
        <v>0</v>
      </c>
      <c r="M341">
        <v>0</v>
      </c>
      <c r="N341">
        <v>0</v>
      </c>
      <c r="O341">
        <v>324</v>
      </c>
      <c r="P341">
        <v>730</v>
      </c>
      <c r="Q341" s="5">
        <f>unitlist3[[#This Row],[health]]/unitlist3[[#This Row],[buildtime]]</f>
        <v>7.6842105263157892E-2</v>
      </c>
      <c r="R341" s="5">
        <f>unitlist3[[#This Row],[dps]]/unitlist3[[#This Row],[metalcost]]</f>
        <v>0</v>
      </c>
      <c r="S341">
        <v>1</v>
      </c>
      <c r="U341">
        <v>1</v>
      </c>
      <c r="AA341">
        <v>0</v>
      </c>
      <c r="AB341">
        <v>0</v>
      </c>
      <c r="AD341">
        <v>900</v>
      </c>
      <c r="AE341">
        <v>2200</v>
      </c>
      <c r="AF341">
        <v>1130</v>
      </c>
      <c r="AG341">
        <v>1695</v>
      </c>
      <c r="AH341" t="s">
        <v>48</v>
      </c>
      <c r="AI341" t="s">
        <v>41</v>
      </c>
      <c r="AJ341" t="s">
        <v>41</v>
      </c>
      <c r="AK341">
        <v>1</v>
      </c>
      <c r="AL341" t="s">
        <v>1562</v>
      </c>
      <c r="AM341" t="s">
        <v>41</v>
      </c>
    </row>
    <row r="342" spans="1:39" hidden="1">
      <c r="A342" t="s">
        <v>1564</v>
      </c>
      <c r="B342" t="s">
        <v>806</v>
      </c>
      <c r="C342">
        <v>1</v>
      </c>
      <c r="D342" t="s">
        <v>1565</v>
      </c>
      <c r="E342" t="s">
        <v>1370</v>
      </c>
      <c r="F342" t="s">
        <v>41</v>
      </c>
      <c r="G342" t="s">
        <v>171</v>
      </c>
      <c r="H342">
        <v>23</v>
      </c>
      <c r="I342">
        <v>190</v>
      </c>
      <c r="J342">
        <v>4000</v>
      </c>
      <c r="K342">
        <v>8500</v>
      </c>
      <c r="L342">
        <v>0</v>
      </c>
      <c r="M342">
        <v>0</v>
      </c>
      <c r="N342">
        <v>0</v>
      </c>
      <c r="O342">
        <v>100</v>
      </c>
      <c r="P342">
        <v>800</v>
      </c>
      <c r="Q342" s="5">
        <f>unitlist3[[#This Row],[health]]/unitlist3[[#This Row],[buildtime]]</f>
        <v>9.4117647058823528E-2</v>
      </c>
      <c r="R342" s="5">
        <f>unitlist3[[#This Row],[dps]]/unitlist3[[#This Row],[metalcost]]</f>
        <v>0</v>
      </c>
      <c r="U342">
        <v>1</v>
      </c>
      <c r="AA342">
        <v>0</v>
      </c>
      <c r="AB342">
        <v>0</v>
      </c>
      <c r="AF342">
        <v>260</v>
      </c>
      <c r="AG342">
        <v>390</v>
      </c>
      <c r="AH342" t="s">
        <v>172</v>
      </c>
      <c r="AI342" t="s">
        <v>41</v>
      </c>
      <c r="AJ342" t="s">
        <v>41</v>
      </c>
      <c r="AK342">
        <v>1</v>
      </c>
      <c r="AL342" t="s">
        <v>1566</v>
      </c>
      <c r="AM342" t="s">
        <v>41</v>
      </c>
    </row>
    <row r="343" spans="1:39" hidden="1">
      <c r="A343" t="s">
        <v>1008</v>
      </c>
      <c r="B343" t="s">
        <v>806</v>
      </c>
      <c r="C343">
        <v>1</v>
      </c>
      <c r="D343" t="s">
        <v>1009</v>
      </c>
      <c r="E343" t="s">
        <v>1010</v>
      </c>
      <c r="F343" t="s">
        <v>41</v>
      </c>
      <c r="G343" t="s">
        <v>148</v>
      </c>
      <c r="H343">
        <v>48</v>
      </c>
      <c r="I343">
        <v>115</v>
      </c>
      <c r="J343">
        <v>5200</v>
      </c>
      <c r="K343">
        <v>4570</v>
      </c>
      <c r="L343">
        <v>0</v>
      </c>
      <c r="M343">
        <v>0</v>
      </c>
      <c r="N343">
        <v>0</v>
      </c>
      <c r="O343">
        <v>0</v>
      </c>
      <c r="P343">
        <v>1070</v>
      </c>
      <c r="Q343" s="5">
        <f>unitlist3[[#This Row],[health]]/unitlist3[[#This Row],[buildtime]]</f>
        <v>0.23413566739606126</v>
      </c>
      <c r="R343" s="5">
        <f>unitlist3[[#This Row],[dps]]/unitlist3[[#This Row],[metalcost]]</f>
        <v>0</v>
      </c>
      <c r="Z343">
        <v>1</v>
      </c>
      <c r="AA343">
        <v>0</v>
      </c>
      <c r="AB343">
        <v>0</v>
      </c>
      <c r="AC343">
        <v>360</v>
      </c>
      <c r="AF343">
        <v>104</v>
      </c>
      <c r="AG343">
        <v>156</v>
      </c>
      <c r="AH343" t="s">
        <v>148</v>
      </c>
      <c r="AI343" t="s">
        <v>41</v>
      </c>
      <c r="AJ343" t="s">
        <v>41</v>
      </c>
      <c r="AK343">
        <v>1</v>
      </c>
      <c r="AL343" t="s">
        <v>1568</v>
      </c>
      <c r="AM343" t="s">
        <v>41</v>
      </c>
    </row>
    <row r="344" spans="1:39" hidden="1">
      <c r="A344" t="s">
        <v>1026</v>
      </c>
      <c r="B344" t="s">
        <v>806</v>
      </c>
      <c r="C344">
        <v>1</v>
      </c>
      <c r="D344" t="s">
        <v>461</v>
      </c>
      <c r="E344" t="s">
        <v>462</v>
      </c>
      <c r="F344" t="s">
        <v>41</v>
      </c>
      <c r="G344" t="s">
        <v>463</v>
      </c>
      <c r="H344">
        <v>48</v>
      </c>
      <c r="I344">
        <v>620</v>
      </c>
      <c r="J344">
        <v>1300</v>
      </c>
      <c r="K344">
        <v>6500</v>
      </c>
      <c r="L344">
        <v>0</v>
      </c>
      <c r="M344">
        <v>0</v>
      </c>
      <c r="N344">
        <v>100</v>
      </c>
      <c r="O344">
        <v>0</v>
      </c>
      <c r="P344">
        <v>2900</v>
      </c>
      <c r="Q344" s="5">
        <f>unitlist3[[#This Row],[health]]/unitlist3[[#This Row],[buildtime]]</f>
        <v>0.44615384615384618</v>
      </c>
      <c r="R344" s="5">
        <f>unitlist3[[#This Row],[dps]]/unitlist3[[#This Row],[metalcost]]</f>
        <v>0</v>
      </c>
      <c r="Z344">
        <v>1</v>
      </c>
      <c r="AA344">
        <v>0</v>
      </c>
      <c r="AB344">
        <v>0</v>
      </c>
      <c r="AF344">
        <v>290</v>
      </c>
      <c r="AG344">
        <v>435</v>
      </c>
      <c r="AH344" t="s">
        <v>41</v>
      </c>
      <c r="AI344" t="s">
        <v>41</v>
      </c>
      <c r="AJ344" t="s">
        <v>1027</v>
      </c>
      <c r="AK344">
        <v>1</v>
      </c>
      <c r="AL344" t="s">
        <v>1573</v>
      </c>
      <c r="AM344" t="s">
        <v>41</v>
      </c>
    </row>
    <row r="345" spans="1:39" hidden="1">
      <c r="A345" t="s">
        <v>1039</v>
      </c>
      <c r="B345" t="s">
        <v>806</v>
      </c>
      <c r="C345">
        <v>1</v>
      </c>
      <c r="D345" t="s">
        <v>492</v>
      </c>
      <c r="E345" t="s">
        <v>493</v>
      </c>
      <c r="F345" t="s">
        <v>41</v>
      </c>
      <c r="G345" t="s">
        <v>380</v>
      </c>
      <c r="H345">
        <v>26</v>
      </c>
      <c r="I345">
        <v>1</v>
      </c>
      <c r="J345">
        <v>1250</v>
      </c>
      <c r="K345">
        <v>2680</v>
      </c>
      <c r="L345">
        <v>0</v>
      </c>
      <c r="M345">
        <v>0</v>
      </c>
      <c r="N345">
        <v>0</v>
      </c>
      <c r="O345">
        <v>0</v>
      </c>
      <c r="P345">
        <v>167</v>
      </c>
      <c r="Q345" s="5">
        <f>unitlist3[[#This Row],[health]]/unitlist3[[#This Row],[buildtime]]</f>
        <v>6.2313432835820894E-2</v>
      </c>
      <c r="R345" s="5">
        <f>unitlist3[[#This Row],[dps]]/unitlist3[[#This Row],[metalcost]]</f>
        <v>0</v>
      </c>
      <c r="Z345">
        <v>1</v>
      </c>
      <c r="AA345">
        <v>0</v>
      </c>
      <c r="AB345">
        <v>0</v>
      </c>
      <c r="AF345">
        <v>273</v>
      </c>
      <c r="AG345">
        <v>410</v>
      </c>
      <c r="AH345" t="s">
        <v>41</v>
      </c>
      <c r="AI345" t="s">
        <v>41</v>
      </c>
      <c r="AJ345" t="s">
        <v>41</v>
      </c>
      <c r="AK345">
        <v>1</v>
      </c>
      <c r="AL345" t="s">
        <v>1579</v>
      </c>
      <c r="AM345" t="s">
        <v>41</v>
      </c>
    </row>
    <row r="346" spans="1:39" hidden="1">
      <c r="A346" t="s">
        <v>1048</v>
      </c>
      <c r="B346" t="s">
        <v>806</v>
      </c>
      <c r="C346">
        <v>1</v>
      </c>
      <c r="D346" t="s">
        <v>523</v>
      </c>
      <c r="E346" t="s">
        <v>524</v>
      </c>
      <c r="F346" t="s">
        <v>41</v>
      </c>
      <c r="G346" t="s">
        <v>525</v>
      </c>
      <c r="H346">
        <v>22</v>
      </c>
      <c r="I346">
        <v>50</v>
      </c>
      <c r="J346">
        <v>500</v>
      </c>
      <c r="K346">
        <v>1870</v>
      </c>
      <c r="L346">
        <v>0</v>
      </c>
      <c r="M346">
        <v>0</v>
      </c>
      <c r="N346">
        <v>0</v>
      </c>
      <c r="O346">
        <v>0</v>
      </c>
      <c r="P346">
        <v>194</v>
      </c>
      <c r="Q346" s="5">
        <f>unitlist3[[#This Row],[health]]/unitlist3[[#This Row],[buildtime]]</f>
        <v>0.10374331550802139</v>
      </c>
      <c r="R346" s="5">
        <f>unitlist3[[#This Row],[dps]]/unitlist3[[#This Row],[metalcost]]</f>
        <v>0</v>
      </c>
      <c r="S346">
        <v>1</v>
      </c>
      <c r="Z346">
        <v>1</v>
      </c>
      <c r="AA346">
        <v>0</v>
      </c>
      <c r="AB346">
        <v>0</v>
      </c>
      <c r="AF346">
        <v>273</v>
      </c>
      <c r="AG346">
        <v>410</v>
      </c>
      <c r="AH346" t="s">
        <v>41</v>
      </c>
      <c r="AI346" t="s">
        <v>41</v>
      </c>
      <c r="AJ346" t="s">
        <v>41</v>
      </c>
      <c r="AK346">
        <v>1</v>
      </c>
      <c r="AL346" t="s">
        <v>1584</v>
      </c>
      <c r="AM346" t="s">
        <v>41</v>
      </c>
    </row>
    <row r="347" spans="1:39" hidden="1">
      <c r="A347" t="s">
        <v>1059</v>
      </c>
      <c r="B347" t="s">
        <v>806</v>
      </c>
      <c r="C347">
        <v>2</v>
      </c>
      <c r="D347" t="s">
        <v>1060</v>
      </c>
      <c r="E347" t="s">
        <v>537</v>
      </c>
      <c r="F347" t="s">
        <v>41</v>
      </c>
      <c r="G347" t="s">
        <v>538</v>
      </c>
      <c r="H347">
        <v>16</v>
      </c>
      <c r="I347">
        <v>200</v>
      </c>
      <c r="J347">
        <v>3300</v>
      </c>
      <c r="K347">
        <v>4800</v>
      </c>
      <c r="L347">
        <v>0</v>
      </c>
      <c r="M347">
        <v>0</v>
      </c>
      <c r="N347">
        <v>200</v>
      </c>
      <c r="O347">
        <v>58</v>
      </c>
      <c r="P347">
        <v>1600</v>
      </c>
      <c r="Q347" s="5">
        <f>unitlist3[[#This Row],[health]]/unitlist3[[#This Row],[buildtime]]</f>
        <v>0.33333333333333331</v>
      </c>
      <c r="R347" s="5">
        <f>unitlist3[[#This Row],[dps]]/unitlist3[[#This Row],[metalcost]]</f>
        <v>0</v>
      </c>
      <c r="W347">
        <v>1</v>
      </c>
      <c r="AA347">
        <v>0</v>
      </c>
      <c r="AB347">
        <v>0</v>
      </c>
      <c r="AF347">
        <v>300</v>
      </c>
      <c r="AG347">
        <v>450</v>
      </c>
      <c r="AH347" t="s">
        <v>41</v>
      </c>
      <c r="AI347" t="s">
        <v>41</v>
      </c>
      <c r="AJ347" t="s">
        <v>1591</v>
      </c>
      <c r="AK347">
        <v>1</v>
      </c>
      <c r="AL347" t="s">
        <v>1592</v>
      </c>
      <c r="AM347" t="s">
        <v>41</v>
      </c>
    </row>
    <row r="348" spans="1:39">
      <c r="A348" t="s">
        <v>1061</v>
      </c>
      <c r="B348" t="s">
        <v>806</v>
      </c>
      <c r="C348">
        <v>1</v>
      </c>
      <c r="D348" t="s">
        <v>1062</v>
      </c>
      <c r="E348" t="s">
        <v>541</v>
      </c>
      <c r="F348" t="s">
        <v>41</v>
      </c>
      <c r="G348" t="s">
        <v>1063</v>
      </c>
      <c r="H348">
        <v>14</v>
      </c>
      <c r="I348">
        <v>65</v>
      </c>
      <c r="J348">
        <v>1300</v>
      </c>
      <c r="K348">
        <v>3640</v>
      </c>
      <c r="L348">
        <v>0</v>
      </c>
      <c r="M348">
        <v>0</v>
      </c>
      <c r="N348">
        <v>40</v>
      </c>
      <c r="O348">
        <v>69</v>
      </c>
      <c r="P348">
        <v>450</v>
      </c>
      <c r="Q348" s="5">
        <f>unitlist3[[#This Row],[health]]/unitlist3[[#This Row],[buildtime]]</f>
        <v>0.12362637362637363</v>
      </c>
      <c r="R348" s="5">
        <f>unitlist3[[#This Row],[dps]]/unitlist3[[#This Row],[metalcost]]</f>
        <v>0</v>
      </c>
      <c r="AA348">
        <v>0</v>
      </c>
      <c r="AB348">
        <v>0</v>
      </c>
      <c r="AC348">
        <v>64</v>
      </c>
      <c r="AF348">
        <v>450</v>
      </c>
      <c r="AG348">
        <v>675</v>
      </c>
      <c r="AH348" t="s">
        <v>239</v>
      </c>
      <c r="AI348" t="s">
        <v>41</v>
      </c>
      <c r="AJ348" t="s">
        <v>1064</v>
      </c>
      <c r="AK348">
        <v>1</v>
      </c>
      <c r="AL348" t="s">
        <v>1593</v>
      </c>
      <c r="AM348" t="s">
        <v>41</v>
      </c>
    </row>
    <row r="349" spans="1:39" hidden="1">
      <c r="A349" t="s">
        <v>1065</v>
      </c>
      <c r="B349" t="s">
        <v>806</v>
      </c>
      <c r="C349">
        <v>2</v>
      </c>
      <c r="D349" t="s">
        <v>545</v>
      </c>
      <c r="E349" t="s">
        <v>546</v>
      </c>
      <c r="F349" t="s">
        <v>41</v>
      </c>
      <c r="G349" t="s">
        <v>547</v>
      </c>
      <c r="H349">
        <v>24</v>
      </c>
      <c r="I349">
        <v>370</v>
      </c>
      <c r="J349">
        <v>21000</v>
      </c>
      <c r="K349">
        <v>31300</v>
      </c>
      <c r="L349">
        <v>0</v>
      </c>
      <c r="M349">
        <v>0</v>
      </c>
      <c r="N349">
        <v>0</v>
      </c>
      <c r="O349">
        <v>0</v>
      </c>
      <c r="P349">
        <v>560</v>
      </c>
      <c r="Q349" s="5">
        <f>unitlist3[[#This Row],[health]]/unitlist3[[#This Row],[buildtime]]</f>
        <v>1.7891373801916934E-2</v>
      </c>
      <c r="R349" s="5">
        <f>unitlist3[[#This Row],[dps]]/unitlist3[[#This Row],[metalcost]]</f>
        <v>0</v>
      </c>
      <c r="Z349">
        <v>1</v>
      </c>
      <c r="AA349">
        <v>0</v>
      </c>
      <c r="AB349">
        <v>0</v>
      </c>
      <c r="AF349">
        <v>273</v>
      </c>
      <c r="AG349">
        <v>410</v>
      </c>
      <c r="AH349" t="s">
        <v>41</v>
      </c>
      <c r="AI349" t="s">
        <v>41</v>
      </c>
      <c r="AJ349" t="s">
        <v>41</v>
      </c>
      <c r="AK349">
        <v>1</v>
      </c>
      <c r="AL349" t="s">
        <v>1594</v>
      </c>
      <c r="AM349" t="s">
        <v>41</v>
      </c>
    </row>
    <row r="350" spans="1:39" hidden="1">
      <c r="A350" t="s">
        <v>1066</v>
      </c>
      <c r="B350" t="s">
        <v>806</v>
      </c>
      <c r="C350">
        <v>2</v>
      </c>
      <c r="D350" t="s">
        <v>549</v>
      </c>
      <c r="E350" t="s">
        <v>550</v>
      </c>
      <c r="F350" t="s">
        <v>41</v>
      </c>
      <c r="G350" t="s">
        <v>551</v>
      </c>
      <c r="H350">
        <v>34</v>
      </c>
      <c r="I350">
        <v>640</v>
      </c>
      <c r="J350">
        <v>8100</v>
      </c>
      <c r="K350">
        <v>14100</v>
      </c>
      <c r="L350">
        <v>0</v>
      </c>
      <c r="M350">
        <v>0</v>
      </c>
      <c r="N350">
        <v>0</v>
      </c>
      <c r="O350">
        <v>0</v>
      </c>
      <c r="P350">
        <v>3900</v>
      </c>
      <c r="Q350" s="5">
        <f>unitlist3[[#This Row],[health]]/unitlist3[[#This Row],[buildtime]]</f>
        <v>0.27659574468085107</v>
      </c>
      <c r="R350" s="5">
        <f>unitlist3[[#This Row],[dps]]/unitlist3[[#This Row],[metalcost]]</f>
        <v>0</v>
      </c>
      <c r="Z350">
        <v>1</v>
      </c>
      <c r="AA350">
        <v>0</v>
      </c>
      <c r="AB350">
        <v>0</v>
      </c>
      <c r="AF350">
        <v>273</v>
      </c>
      <c r="AG350">
        <v>410</v>
      </c>
      <c r="AH350" t="s">
        <v>41</v>
      </c>
      <c r="AI350" t="s">
        <v>41</v>
      </c>
      <c r="AJ350" t="s">
        <v>41</v>
      </c>
      <c r="AK350">
        <v>1</v>
      </c>
      <c r="AL350" t="s">
        <v>1595</v>
      </c>
      <c r="AM350" t="s">
        <v>41</v>
      </c>
    </row>
    <row r="351" spans="1:39" hidden="1">
      <c r="A351" t="s">
        <v>1073</v>
      </c>
      <c r="B351" t="s">
        <v>806</v>
      </c>
      <c r="C351">
        <v>1</v>
      </c>
      <c r="D351" t="s">
        <v>557</v>
      </c>
      <c r="E351" t="s">
        <v>558</v>
      </c>
      <c r="F351" t="s">
        <v>41</v>
      </c>
      <c r="G351" t="s">
        <v>559</v>
      </c>
      <c r="H351">
        <v>56</v>
      </c>
      <c r="I351">
        <v>340</v>
      </c>
      <c r="J351">
        <v>590</v>
      </c>
      <c r="K351">
        <v>2920</v>
      </c>
      <c r="L351">
        <v>0</v>
      </c>
      <c r="M351">
        <v>0</v>
      </c>
      <c r="N351">
        <v>0</v>
      </c>
      <c r="O351">
        <v>0</v>
      </c>
      <c r="P351">
        <v>2100</v>
      </c>
      <c r="Q351" s="5">
        <f>unitlist3[[#This Row],[health]]/unitlist3[[#This Row],[buildtime]]</f>
        <v>0.71917808219178081</v>
      </c>
      <c r="R351" s="5">
        <f>unitlist3[[#This Row],[dps]]/unitlist3[[#This Row],[metalcost]]</f>
        <v>0</v>
      </c>
      <c r="Z351">
        <v>1</v>
      </c>
      <c r="AA351">
        <v>0</v>
      </c>
      <c r="AB351">
        <v>0</v>
      </c>
      <c r="AF351">
        <v>273</v>
      </c>
      <c r="AG351">
        <v>410</v>
      </c>
      <c r="AH351" t="s">
        <v>41</v>
      </c>
      <c r="AI351" t="s">
        <v>41</v>
      </c>
      <c r="AJ351" t="s">
        <v>41</v>
      </c>
      <c r="AK351">
        <v>1</v>
      </c>
      <c r="AL351" t="s">
        <v>1598</v>
      </c>
      <c r="AM351" t="s">
        <v>41</v>
      </c>
    </row>
    <row r="352" spans="1:39">
      <c r="A352" t="s">
        <v>1074</v>
      </c>
      <c r="B352" t="s">
        <v>806</v>
      </c>
      <c r="C352">
        <v>1</v>
      </c>
      <c r="D352" t="s">
        <v>1075</v>
      </c>
      <c r="E352" t="s">
        <v>197</v>
      </c>
      <c r="F352" t="s">
        <v>41</v>
      </c>
      <c r="G352" t="s">
        <v>198</v>
      </c>
      <c r="H352">
        <v>21</v>
      </c>
      <c r="I352">
        <v>170</v>
      </c>
      <c r="J352">
        <v>3500</v>
      </c>
      <c r="K352">
        <v>6860</v>
      </c>
      <c r="L352">
        <v>0</v>
      </c>
      <c r="M352">
        <v>8</v>
      </c>
      <c r="N352">
        <v>80</v>
      </c>
      <c r="O352">
        <v>41</v>
      </c>
      <c r="P352">
        <v>1110</v>
      </c>
      <c r="Q352" s="5">
        <f>unitlist3[[#This Row],[health]]/unitlist3[[#This Row],[buildtime]]</f>
        <v>0.16180758017492711</v>
      </c>
      <c r="R352" s="5">
        <f>unitlist3[[#This Row],[dps]]/unitlist3[[#This Row],[metalcost]]</f>
        <v>0</v>
      </c>
      <c r="S352">
        <v>1</v>
      </c>
      <c r="AA352">
        <v>0</v>
      </c>
      <c r="AB352">
        <v>0</v>
      </c>
      <c r="AF352">
        <v>260</v>
      </c>
      <c r="AG352">
        <v>390</v>
      </c>
      <c r="AH352" t="s">
        <v>41</v>
      </c>
      <c r="AI352" t="s">
        <v>41</v>
      </c>
      <c r="AJ352" t="s">
        <v>1599</v>
      </c>
      <c r="AK352">
        <v>1</v>
      </c>
      <c r="AL352" t="s">
        <v>1600</v>
      </c>
      <c r="AM352" t="s">
        <v>41</v>
      </c>
    </row>
    <row r="353" spans="1:39" hidden="1">
      <c r="A353" t="s">
        <v>1076</v>
      </c>
      <c r="B353" t="s">
        <v>806</v>
      </c>
      <c r="C353">
        <v>1</v>
      </c>
      <c r="D353" t="s">
        <v>561</v>
      </c>
      <c r="E353" t="s">
        <v>562</v>
      </c>
      <c r="F353" t="s">
        <v>41</v>
      </c>
      <c r="G353" t="s">
        <v>563</v>
      </c>
      <c r="H353">
        <v>32</v>
      </c>
      <c r="I353">
        <v>210</v>
      </c>
      <c r="J353">
        <v>3200</v>
      </c>
      <c r="K353">
        <v>5300</v>
      </c>
      <c r="L353">
        <v>0</v>
      </c>
      <c r="M353">
        <v>0</v>
      </c>
      <c r="N353">
        <v>200</v>
      </c>
      <c r="O353">
        <v>0</v>
      </c>
      <c r="P353">
        <v>560</v>
      </c>
      <c r="Q353" s="5">
        <f>unitlist3[[#This Row],[health]]/unitlist3[[#This Row],[buildtime]]</f>
        <v>0.10566037735849057</v>
      </c>
      <c r="R353" s="5">
        <f>unitlist3[[#This Row],[dps]]/unitlist3[[#This Row],[metalcost]]</f>
        <v>0</v>
      </c>
      <c r="Z353">
        <v>1</v>
      </c>
      <c r="AA353">
        <v>0</v>
      </c>
      <c r="AB353">
        <v>0</v>
      </c>
      <c r="AF353">
        <v>380</v>
      </c>
      <c r="AG353">
        <v>570</v>
      </c>
      <c r="AH353" t="s">
        <v>41</v>
      </c>
      <c r="AI353" t="s">
        <v>41</v>
      </c>
      <c r="AJ353" t="s">
        <v>41</v>
      </c>
      <c r="AK353">
        <v>1</v>
      </c>
      <c r="AL353" t="s">
        <v>1601</v>
      </c>
      <c r="AM353" t="s">
        <v>41</v>
      </c>
    </row>
    <row r="354" spans="1:39" hidden="1">
      <c r="A354" t="s">
        <v>1077</v>
      </c>
      <c r="B354" t="s">
        <v>806</v>
      </c>
      <c r="C354">
        <v>1</v>
      </c>
      <c r="D354" t="s">
        <v>565</v>
      </c>
      <c r="E354" t="s">
        <v>562</v>
      </c>
      <c r="F354" t="s">
        <v>41</v>
      </c>
      <c r="G354" t="s">
        <v>563</v>
      </c>
      <c r="H354">
        <v>39</v>
      </c>
      <c r="I354">
        <v>230</v>
      </c>
      <c r="J354">
        <v>2600</v>
      </c>
      <c r="K354">
        <v>5300</v>
      </c>
      <c r="L354">
        <v>0</v>
      </c>
      <c r="M354">
        <v>0</v>
      </c>
      <c r="N354">
        <v>200</v>
      </c>
      <c r="O354">
        <v>0</v>
      </c>
      <c r="P354">
        <v>560</v>
      </c>
      <c r="Q354" s="5">
        <f>unitlist3[[#This Row],[health]]/unitlist3[[#This Row],[buildtime]]</f>
        <v>0.10566037735849057</v>
      </c>
      <c r="R354" s="5">
        <f>unitlist3[[#This Row],[dps]]/unitlist3[[#This Row],[metalcost]]</f>
        <v>0</v>
      </c>
      <c r="Z354">
        <v>1</v>
      </c>
      <c r="AA354">
        <v>0</v>
      </c>
      <c r="AB354">
        <v>0</v>
      </c>
      <c r="AF354">
        <v>380</v>
      </c>
      <c r="AG354">
        <v>570</v>
      </c>
      <c r="AH354" t="s">
        <v>41</v>
      </c>
      <c r="AI354" t="s">
        <v>41</v>
      </c>
      <c r="AJ354" t="s">
        <v>41</v>
      </c>
      <c r="AK354">
        <v>1</v>
      </c>
      <c r="AL354" t="s">
        <v>1602</v>
      </c>
      <c r="AM354" t="s">
        <v>41</v>
      </c>
    </row>
    <row r="355" spans="1:39">
      <c r="A355" t="s">
        <v>1078</v>
      </c>
      <c r="B355" t="s">
        <v>806</v>
      </c>
      <c r="C355">
        <v>1</v>
      </c>
      <c r="D355" t="s">
        <v>1079</v>
      </c>
      <c r="E355" t="s">
        <v>1080</v>
      </c>
      <c r="F355" t="s">
        <v>41</v>
      </c>
      <c r="G355" t="s">
        <v>615</v>
      </c>
      <c r="H355">
        <v>25</v>
      </c>
      <c r="I355">
        <v>130</v>
      </c>
      <c r="J355">
        <v>1400</v>
      </c>
      <c r="K355">
        <v>2800</v>
      </c>
      <c r="L355">
        <v>0</v>
      </c>
      <c r="M355">
        <v>0</v>
      </c>
      <c r="N355">
        <v>200</v>
      </c>
      <c r="O355">
        <v>78</v>
      </c>
      <c r="P355">
        <v>220</v>
      </c>
      <c r="Q355" s="5">
        <f>unitlist3[[#This Row],[health]]/unitlist3[[#This Row],[buildtime]]</f>
        <v>7.857142857142857E-2</v>
      </c>
      <c r="R355" s="5">
        <f>unitlist3[[#This Row],[dps]]/unitlist3[[#This Row],[metalcost]]</f>
        <v>0</v>
      </c>
      <c r="AA355">
        <v>0</v>
      </c>
      <c r="AB355">
        <v>0</v>
      </c>
      <c r="AE355">
        <v>50</v>
      </c>
      <c r="AF355">
        <v>430</v>
      </c>
      <c r="AG355">
        <v>645</v>
      </c>
      <c r="AH355" t="s">
        <v>616</v>
      </c>
      <c r="AI355" t="s">
        <v>41</v>
      </c>
      <c r="AJ355" t="s">
        <v>41</v>
      </c>
      <c r="AK355">
        <v>1</v>
      </c>
      <c r="AL355" t="s">
        <v>1603</v>
      </c>
      <c r="AM355" t="s">
        <v>41</v>
      </c>
    </row>
    <row r="356" spans="1:39" hidden="1">
      <c r="A356" t="s">
        <v>1084</v>
      </c>
      <c r="B356" t="s">
        <v>806</v>
      </c>
      <c r="C356">
        <v>1</v>
      </c>
      <c r="D356" t="s">
        <v>579</v>
      </c>
      <c r="E356" t="s">
        <v>580</v>
      </c>
      <c r="F356" t="s">
        <v>41</v>
      </c>
      <c r="G356" t="s">
        <v>581</v>
      </c>
      <c r="H356">
        <v>44</v>
      </c>
      <c r="I356">
        <v>1400</v>
      </c>
      <c r="J356">
        <v>5500</v>
      </c>
      <c r="K356">
        <v>11800</v>
      </c>
      <c r="L356">
        <v>0</v>
      </c>
      <c r="M356">
        <v>0</v>
      </c>
      <c r="N356">
        <v>200</v>
      </c>
      <c r="O356">
        <v>0</v>
      </c>
      <c r="P356">
        <v>2200</v>
      </c>
      <c r="Q356" s="5">
        <f>unitlist3[[#This Row],[health]]/unitlist3[[#This Row],[buildtime]]</f>
        <v>0.1864406779661017</v>
      </c>
      <c r="R356" s="5">
        <f>unitlist3[[#This Row],[dps]]/unitlist3[[#This Row],[metalcost]]</f>
        <v>0</v>
      </c>
      <c r="T356">
        <v>1</v>
      </c>
      <c r="Z356">
        <v>1</v>
      </c>
      <c r="AA356">
        <v>0</v>
      </c>
      <c r="AB356">
        <v>0</v>
      </c>
      <c r="AD356">
        <v>800</v>
      </c>
      <c r="AF356">
        <v>169</v>
      </c>
      <c r="AG356">
        <v>254</v>
      </c>
      <c r="AH356" t="s">
        <v>41</v>
      </c>
      <c r="AI356" t="s">
        <v>41</v>
      </c>
      <c r="AJ356" t="s">
        <v>1085</v>
      </c>
      <c r="AK356">
        <v>1</v>
      </c>
      <c r="AL356" t="s">
        <v>1605</v>
      </c>
      <c r="AM356" t="s">
        <v>41</v>
      </c>
    </row>
    <row r="357" spans="1:39" hidden="1">
      <c r="A357" t="s">
        <v>1098</v>
      </c>
      <c r="B357" t="s">
        <v>806</v>
      </c>
      <c r="C357">
        <v>1</v>
      </c>
      <c r="D357" t="s">
        <v>603</v>
      </c>
      <c r="E357" t="s">
        <v>386</v>
      </c>
      <c r="F357" t="s">
        <v>41</v>
      </c>
      <c r="G357" t="s">
        <v>387</v>
      </c>
      <c r="H357">
        <v>78</v>
      </c>
      <c r="I357">
        <v>60</v>
      </c>
      <c r="J357">
        <v>630</v>
      </c>
      <c r="K357">
        <v>1140</v>
      </c>
      <c r="L357">
        <v>0</v>
      </c>
      <c r="M357">
        <v>0</v>
      </c>
      <c r="N357">
        <v>0</v>
      </c>
      <c r="O357">
        <v>0</v>
      </c>
      <c r="P357">
        <v>90</v>
      </c>
      <c r="Q357" s="5">
        <f>unitlist3[[#This Row],[health]]/unitlist3[[#This Row],[buildtime]]</f>
        <v>7.8947368421052627E-2</v>
      </c>
      <c r="R357" s="5">
        <f>unitlist3[[#This Row],[dps]]/unitlist3[[#This Row],[metalcost]]</f>
        <v>0</v>
      </c>
      <c r="Z357">
        <v>1</v>
      </c>
      <c r="AA357">
        <v>0</v>
      </c>
      <c r="AB357">
        <v>0</v>
      </c>
      <c r="AE357">
        <v>2100</v>
      </c>
      <c r="AF357">
        <v>680</v>
      </c>
      <c r="AG357">
        <v>1020</v>
      </c>
      <c r="AH357" t="s">
        <v>48</v>
      </c>
      <c r="AI357" t="s">
        <v>41</v>
      </c>
      <c r="AJ357" t="s">
        <v>41</v>
      </c>
      <c r="AK357">
        <v>1</v>
      </c>
      <c r="AL357" t="s">
        <v>1610</v>
      </c>
      <c r="AM357" t="s">
        <v>41</v>
      </c>
    </row>
    <row r="358" spans="1:39">
      <c r="A358" t="s">
        <v>1103</v>
      </c>
      <c r="B358" t="s">
        <v>806</v>
      </c>
      <c r="C358">
        <v>1</v>
      </c>
      <c r="D358" t="s">
        <v>1104</v>
      </c>
      <c r="E358" t="s">
        <v>609</v>
      </c>
      <c r="F358" t="s">
        <v>41</v>
      </c>
      <c r="G358" t="s">
        <v>610</v>
      </c>
      <c r="H358">
        <v>22</v>
      </c>
      <c r="I358">
        <v>200</v>
      </c>
      <c r="J358">
        <v>3200</v>
      </c>
      <c r="K358">
        <v>5960</v>
      </c>
      <c r="L358">
        <v>0</v>
      </c>
      <c r="M358">
        <v>0</v>
      </c>
      <c r="N358">
        <v>150</v>
      </c>
      <c r="O358">
        <v>67</v>
      </c>
      <c r="P358">
        <v>420</v>
      </c>
      <c r="Q358" s="5">
        <f>unitlist3[[#This Row],[health]]/unitlist3[[#This Row],[buildtime]]</f>
        <v>7.0469798657718116E-2</v>
      </c>
      <c r="R358" s="5">
        <f>unitlist3[[#This Row],[dps]]/unitlist3[[#This Row],[metalcost]]</f>
        <v>0</v>
      </c>
      <c r="T358">
        <v>1</v>
      </c>
      <c r="AA358">
        <v>0</v>
      </c>
      <c r="AB358">
        <v>0</v>
      </c>
      <c r="AD358">
        <v>150</v>
      </c>
      <c r="AF358">
        <v>300</v>
      </c>
      <c r="AG358">
        <v>450</v>
      </c>
      <c r="AH358" t="s">
        <v>611</v>
      </c>
      <c r="AI358" t="s">
        <v>41</v>
      </c>
      <c r="AJ358" t="s">
        <v>41</v>
      </c>
      <c r="AK358">
        <v>1</v>
      </c>
      <c r="AL358" t="s">
        <v>1613</v>
      </c>
      <c r="AM358" t="s">
        <v>41</v>
      </c>
    </row>
    <row r="359" spans="1:39" hidden="1">
      <c r="A359" t="s">
        <v>1121</v>
      </c>
      <c r="B359" t="s">
        <v>806</v>
      </c>
      <c r="C359">
        <v>2</v>
      </c>
      <c r="D359" t="s">
        <v>1122</v>
      </c>
      <c r="E359" t="s">
        <v>1123</v>
      </c>
      <c r="F359" t="s">
        <v>41</v>
      </c>
      <c r="G359" t="s">
        <v>647</v>
      </c>
      <c r="H359">
        <v>16</v>
      </c>
      <c r="I359">
        <v>750</v>
      </c>
      <c r="J359">
        <v>6700</v>
      </c>
      <c r="K359">
        <v>12000</v>
      </c>
      <c r="L359">
        <v>0</v>
      </c>
      <c r="M359">
        <v>0</v>
      </c>
      <c r="N359">
        <v>0</v>
      </c>
      <c r="O359">
        <v>0</v>
      </c>
      <c r="P359">
        <v>2800</v>
      </c>
      <c r="Q359" s="5">
        <f>unitlist3[[#This Row],[health]]/unitlist3[[#This Row],[buildtime]]</f>
        <v>0.23333333333333334</v>
      </c>
      <c r="R359" s="5">
        <f>unitlist3[[#This Row],[dps]]/unitlist3[[#This Row],[metalcost]]</f>
        <v>0</v>
      </c>
      <c r="Z359">
        <v>1</v>
      </c>
      <c r="AA359">
        <v>0</v>
      </c>
      <c r="AB359">
        <v>2000</v>
      </c>
      <c r="AF359">
        <v>225</v>
      </c>
      <c r="AG359">
        <v>338</v>
      </c>
      <c r="AH359" t="s">
        <v>648</v>
      </c>
      <c r="AI359" t="s">
        <v>41</v>
      </c>
      <c r="AJ359" t="s">
        <v>41</v>
      </c>
      <c r="AK359">
        <v>1</v>
      </c>
      <c r="AL359" t="s">
        <v>1620</v>
      </c>
      <c r="AM359" t="s">
        <v>41</v>
      </c>
    </row>
    <row r="360" spans="1:39" hidden="1">
      <c r="A360" t="s">
        <v>1124</v>
      </c>
      <c r="B360" t="s">
        <v>806</v>
      </c>
      <c r="C360">
        <v>2</v>
      </c>
      <c r="D360" t="s">
        <v>1125</v>
      </c>
      <c r="E360" t="s">
        <v>1621</v>
      </c>
      <c r="F360" t="s">
        <v>41</v>
      </c>
      <c r="G360" t="s">
        <v>171</v>
      </c>
      <c r="H360">
        <v>32</v>
      </c>
      <c r="I360">
        <v>370</v>
      </c>
      <c r="J360">
        <v>6400</v>
      </c>
      <c r="K360">
        <v>10000</v>
      </c>
      <c r="L360">
        <v>0</v>
      </c>
      <c r="M360">
        <v>0</v>
      </c>
      <c r="N360">
        <v>0</v>
      </c>
      <c r="O360">
        <v>235</v>
      </c>
      <c r="P360">
        <v>2200</v>
      </c>
      <c r="Q360" s="5">
        <f>unitlist3[[#This Row],[health]]/unitlist3[[#This Row],[buildtime]]</f>
        <v>0.22</v>
      </c>
      <c r="R360" s="5">
        <f>unitlist3[[#This Row],[dps]]/unitlist3[[#This Row],[metalcost]]</f>
        <v>0</v>
      </c>
      <c r="U360">
        <v>1</v>
      </c>
      <c r="AA360">
        <v>0</v>
      </c>
      <c r="AB360">
        <v>0</v>
      </c>
      <c r="AF360">
        <v>500</v>
      </c>
      <c r="AG360">
        <v>750</v>
      </c>
      <c r="AH360" t="s">
        <v>172</v>
      </c>
      <c r="AI360" t="s">
        <v>41</v>
      </c>
      <c r="AJ360" t="s">
        <v>41</v>
      </c>
      <c r="AK360">
        <v>1</v>
      </c>
      <c r="AL360" t="s">
        <v>1622</v>
      </c>
      <c r="AM360" t="s">
        <v>41</v>
      </c>
    </row>
    <row r="361" spans="1:39" hidden="1">
      <c r="A361" t="s">
        <v>1143</v>
      </c>
      <c r="B361" t="s">
        <v>806</v>
      </c>
      <c r="C361">
        <v>2</v>
      </c>
      <c r="D361" t="s">
        <v>1144</v>
      </c>
      <c r="E361" t="s">
        <v>779</v>
      </c>
      <c r="F361" t="s">
        <v>41</v>
      </c>
      <c r="G361" t="s">
        <v>780</v>
      </c>
      <c r="H361">
        <v>88</v>
      </c>
      <c r="I361">
        <v>130</v>
      </c>
      <c r="J361">
        <v>20000</v>
      </c>
      <c r="K361">
        <v>9400</v>
      </c>
      <c r="L361">
        <v>0</v>
      </c>
      <c r="M361">
        <v>0</v>
      </c>
      <c r="N361">
        <v>0</v>
      </c>
      <c r="O361">
        <v>0</v>
      </c>
      <c r="P361">
        <v>890</v>
      </c>
      <c r="Q361" s="5">
        <f>unitlist3[[#This Row],[health]]/unitlist3[[#This Row],[buildtime]]</f>
        <v>9.4680851063829785E-2</v>
      </c>
      <c r="R361" s="5">
        <f>unitlist3[[#This Row],[dps]]/unitlist3[[#This Row],[metalcost]]</f>
        <v>0</v>
      </c>
      <c r="Z361">
        <v>1</v>
      </c>
      <c r="AA361">
        <v>0</v>
      </c>
      <c r="AB361">
        <v>0</v>
      </c>
      <c r="AC361">
        <v>700</v>
      </c>
      <c r="AF361">
        <v>155</v>
      </c>
      <c r="AG361">
        <v>233</v>
      </c>
      <c r="AH361" t="s">
        <v>148</v>
      </c>
      <c r="AI361" t="s">
        <v>41</v>
      </c>
      <c r="AJ361" t="s">
        <v>41</v>
      </c>
      <c r="AK361">
        <v>1</v>
      </c>
      <c r="AL361" t="s">
        <v>1630</v>
      </c>
      <c r="AM361" t="s">
        <v>41</v>
      </c>
    </row>
    <row r="362" spans="1:39" hidden="1">
      <c r="A362" t="s">
        <v>1147</v>
      </c>
      <c r="B362" t="s">
        <v>806</v>
      </c>
      <c r="C362">
        <v>2</v>
      </c>
      <c r="D362" t="s">
        <v>1148</v>
      </c>
      <c r="E362" t="s">
        <v>689</v>
      </c>
      <c r="F362" t="s">
        <v>41</v>
      </c>
      <c r="G362" t="s">
        <v>690</v>
      </c>
      <c r="H362">
        <v>22</v>
      </c>
      <c r="I362">
        <v>120</v>
      </c>
      <c r="J362">
        <v>1800</v>
      </c>
      <c r="K362">
        <v>6320</v>
      </c>
      <c r="L362">
        <v>0</v>
      </c>
      <c r="M362">
        <v>0</v>
      </c>
      <c r="N362">
        <v>0</v>
      </c>
      <c r="O362">
        <v>61</v>
      </c>
      <c r="P362">
        <v>630</v>
      </c>
      <c r="Q362" s="5">
        <f>unitlist3[[#This Row],[health]]/unitlist3[[#This Row],[buildtime]]</f>
        <v>9.9683544303797472E-2</v>
      </c>
      <c r="R362" s="5">
        <f>unitlist3[[#This Row],[dps]]/unitlist3[[#This Row],[metalcost]]</f>
        <v>0</v>
      </c>
      <c r="W362">
        <v>1</v>
      </c>
      <c r="AA362">
        <v>0</v>
      </c>
      <c r="AB362">
        <v>0</v>
      </c>
      <c r="AC362">
        <v>900</v>
      </c>
      <c r="AF362">
        <v>403</v>
      </c>
      <c r="AG362">
        <v>605</v>
      </c>
      <c r="AH362" t="s">
        <v>148</v>
      </c>
      <c r="AI362" t="s">
        <v>41</v>
      </c>
      <c r="AJ362" t="s">
        <v>41</v>
      </c>
      <c r="AK362">
        <v>1</v>
      </c>
      <c r="AL362" t="s">
        <v>1632</v>
      </c>
      <c r="AM362" t="s">
        <v>41</v>
      </c>
    </row>
    <row r="363" spans="1:39" hidden="1">
      <c r="A363" t="s">
        <v>1158</v>
      </c>
      <c r="B363" t="s">
        <v>806</v>
      </c>
      <c r="C363">
        <v>1</v>
      </c>
      <c r="D363" t="s">
        <v>696</v>
      </c>
      <c r="E363" t="s">
        <v>697</v>
      </c>
      <c r="F363" t="s">
        <v>41</v>
      </c>
      <c r="G363" t="s">
        <v>698</v>
      </c>
      <c r="H363">
        <v>34</v>
      </c>
      <c r="I363">
        <v>150</v>
      </c>
      <c r="J363">
        <v>0</v>
      </c>
      <c r="K363">
        <v>2800</v>
      </c>
      <c r="L363">
        <v>0</v>
      </c>
      <c r="M363">
        <v>0</v>
      </c>
      <c r="N363">
        <v>0</v>
      </c>
      <c r="O363">
        <v>0</v>
      </c>
      <c r="P363">
        <v>355</v>
      </c>
      <c r="Q363" s="5">
        <f>unitlist3[[#This Row],[health]]/unitlist3[[#This Row],[buildtime]]</f>
        <v>0.12678571428571428</v>
      </c>
      <c r="R363" s="5">
        <f>unitlist3[[#This Row],[dps]]/unitlist3[[#This Row],[metalcost]]</f>
        <v>0</v>
      </c>
      <c r="Z363">
        <v>1</v>
      </c>
      <c r="AA363">
        <v>0</v>
      </c>
      <c r="AB363">
        <v>0</v>
      </c>
      <c r="AF363">
        <v>273</v>
      </c>
      <c r="AG363">
        <v>410</v>
      </c>
      <c r="AH363" t="s">
        <v>41</v>
      </c>
      <c r="AI363" t="s">
        <v>41</v>
      </c>
      <c r="AJ363" t="s">
        <v>41</v>
      </c>
      <c r="AK363">
        <v>1</v>
      </c>
      <c r="AL363" t="s">
        <v>1637</v>
      </c>
      <c r="AM363" t="s">
        <v>41</v>
      </c>
    </row>
    <row r="364" spans="1:39">
      <c r="A364" t="s">
        <v>1159</v>
      </c>
      <c r="B364" t="s">
        <v>806</v>
      </c>
      <c r="C364">
        <v>2</v>
      </c>
      <c r="D364" t="s">
        <v>1160</v>
      </c>
      <c r="E364" t="s">
        <v>146</v>
      </c>
      <c r="F364" t="s">
        <v>41</v>
      </c>
      <c r="G364" t="s">
        <v>147</v>
      </c>
      <c r="H364">
        <v>38</v>
      </c>
      <c r="I364">
        <v>75</v>
      </c>
      <c r="J364">
        <v>1550</v>
      </c>
      <c r="K364">
        <v>5440</v>
      </c>
      <c r="L364">
        <v>0</v>
      </c>
      <c r="M364">
        <v>0</v>
      </c>
      <c r="N364">
        <v>0</v>
      </c>
      <c r="O364">
        <v>39</v>
      </c>
      <c r="P364">
        <v>345</v>
      </c>
      <c r="Q364" s="5">
        <f>unitlist3[[#This Row],[health]]/unitlist3[[#This Row],[buildtime]]</f>
        <v>6.341911764705882E-2</v>
      </c>
      <c r="R364" s="5">
        <f>unitlist3[[#This Row],[dps]]/unitlist3[[#This Row],[metalcost]]</f>
        <v>0</v>
      </c>
      <c r="AA364">
        <v>0</v>
      </c>
      <c r="AB364">
        <v>0</v>
      </c>
      <c r="AC364">
        <v>450</v>
      </c>
      <c r="AF364">
        <v>250</v>
      </c>
      <c r="AG364">
        <v>375</v>
      </c>
      <c r="AH364" t="s">
        <v>148</v>
      </c>
      <c r="AI364" t="s">
        <v>41</v>
      </c>
      <c r="AJ364" t="s">
        <v>41</v>
      </c>
      <c r="AK364">
        <v>1</v>
      </c>
      <c r="AL364" t="s">
        <v>1638</v>
      </c>
      <c r="AM364" t="s">
        <v>41</v>
      </c>
    </row>
    <row r="365" spans="1:39">
      <c r="A365" t="s">
        <v>1161</v>
      </c>
      <c r="B365" t="s">
        <v>806</v>
      </c>
      <c r="C365">
        <v>2</v>
      </c>
      <c r="D365" t="s">
        <v>1162</v>
      </c>
      <c r="E365" t="s">
        <v>709</v>
      </c>
      <c r="F365" t="s">
        <v>41</v>
      </c>
      <c r="G365" t="s">
        <v>710</v>
      </c>
      <c r="H365">
        <v>27</v>
      </c>
      <c r="I365">
        <v>165</v>
      </c>
      <c r="J365">
        <v>12500</v>
      </c>
      <c r="K365">
        <v>22200</v>
      </c>
      <c r="L365">
        <v>0</v>
      </c>
      <c r="M365">
        <v>0</v>
      </c>
      <c r="N365">
        <v>50</v>
      </c>
      <c r="O365">
        <v>62</v>
      </c>
      <c r="P365">
        <v>380</v>
      </c>
      <c r="Q365" s="5">
        <f>unitlist3[[#This Row],[health]]/unitlist3[[#This Row],[buildtime]]</f>
        <v>1.7117117117117116E-2</v>
      </c>
      <c r="R365" s="5">
        <f>unitlist3[[#This Row],[dps]]/unitlist3[[#This Row],[metalcost]]</f>
        <v>0</v>
      </c>
      <c r="AA365">
        <v>0</v>
      </c>
      <c r="AB365">
        <v>0</v>
      </c>
      <c r="AF365">
        <v>550</v>
      </c>
      <c r="AG365">
        <v>825</v>
      </c>
      <c r="AH365" t="s">
        <v>377</v>
      </c>
      <c r="AI365" t="s">
        <v>41</v>
      </c>
      <c r="AJ365" t="s">
        <v>41</v>
      </c>
      <c r="AK365">
        <v>1</v>
      </c>
      <c r="AL365" t="s">
        <v>1639</v>
      </c>
      <c r="AM365" t="s">
        <v>41</v>
      </c>
    </row>
    <row r="366" spans="1:39" hidden="1">
      <c r="A366" t="s">
        <v>1172</v>
      </c>
      <c r="B366" t="s">
        <v>806</v>
      </c>
      <c r="C366">
        <v>1</v>
      </c>
      <c r="D366" t="s">
        <v>728</v>
      </c>
      <c r="E366" t="s">
        <v>729</v>
      </c>
      <c r="F366" t="s">
        <v>41</v>
      </c>
      <c r="G366" t="s">
        <v>730</v>
      </c>
      <c r="H366">
        <v>32</v>
      </c>
      <c r="I366">
        <v>600</v>
      </c>
      <c r="J366">
        <v>1200</v>
      </c>
      <c r="K366">
        <v>6600</v>
      </c>
      <c r="L366">
        <v>0</v>
      </c>
      <c r="M366">
        <v>0</v>
      </c>
      <c r="N366">
        <v>165</v>
      </c>
      <c r="O366">
        <v>0</v>
      </c>
      <c r="P366">
        <v>4300</v>
      </c>
      <c r="Q366" s="5">
        <f>unitlist3[[#This Row],[health]]/unitlist3[[#This Row],[buildtime]]</f>
        <v>0.65151515151515149</v>
      </c>
      <c r="R366" s="5">
        <f>unitlist3[[#This Row],[dps]]/unitlist3[[#This Row],[metalcost]]</f>
        <v>0</v>
      </c>
      <c r="Z366">
        <v>1</v>
      </c>
      <c r="AA366">
        <v>0</v>
      </c>
      <c r="AB366">
        <v>0</v>
      </c>
      <c r="AF366">
        <v>340</v>
      </c>
      <c r="AG366">
        <v>510</v>
      </c>
      <c r="AH366" t="s">
        <v>41</v>
      </c>
      <c r="AI366" t="s">
        <v>41</v>
      </c>
      <c r="AJ366" t="s">
        <v>1173</v>
      </c>
      <c r="AK366">
        <v>1</v>
      </c>
      <c r="AL366" t="s">
        <v>1644</v>
      </c>
      <c r="AM366" t="s">
        <v>41</v>
      </c>
    </row>
    <row r="367" spans="1:39" hidden="1">
      <c r="A367" t="s">
        <v>1174</v>
      </c>
      <c r="B367" t="s">
        <v>806</v>
      </c>
      <c r="C367">
        <v>2</v>
      </c>
      <c r="D367" t="s">
        <v>733</v>
      </c>
      <c r="E367" t="s">
        <v>734</v>
      </c>
      <c r="F367" t="s">
        <v>41</v>
      </c>
      <c r="G367" t="s">
        <v>326</v>
      </c>
      <c r="H367">
        <v>18</v>
      </c>
      <c r="I367">
        <v>800</v>
      </c>
      <c r="J367">
        <v>7500</v>
      </c>
      <c r="K367">
        <v>10900</v>
      </c>
      <c r="L367">
        <v>0</v>
      </c>
      <c r="M367">
        <v>0</v>
      </c>
      <c r="N367">
        <v>0</v>
      </c>
      <c r="O367">
        <v>0</v>
      </c>
      <c r="P367">
        <v>2000</v>
      </c>
      <c r="Q367" s="5">
        <f>unitlist3[[#This Row],[health]]/unitlist3[[#This Row],[buildtime]]</f>
        <v>0.1834862385321101</v>
      </c>
      <c r="R367" s="5">
        <f>unitlist3[[#This Row],[dps]]/unitlist3[[#This Row],[metalcost]]</f>
        <v>0</v>
      </c>
      <c r="Z367">
        <v>1</v>
      </c>
      <c r="AA367">
        <v>0</v>
      </c>
      <c r="AB367">
        <v>0</v>
      </c>
      <c r="AF367">
        <v>273</v>
      </c>
      <c r="AG367">
        <v>410</v>
      </c>
      <c r="AH367" t="s">
        <v>41</v>
      </c>
      <c r="AI367" t="s">
        <v>41</v>
      </c>
      <c r="AJ367" t="s">
        <v>41</v>
      </c>
      <c r="AK367">
        <v>1</v>
      </c>
      <c r="AL367" t="s">
        <v>1645</v>
      </c>
      <c r="AM367" t="s">
        <v>41</v>
      </c>
    </row>
    <row r="368" spans="1:39" hidden="1">
      <c r="A368" t="s">
        <v>1181</v>
      </c>
      <c r="B368" t="s">
        <v>806</v>
      </c>
      <c r="C368">
        <v>1</v>
      </c>
      <c r="D368" t="s">
        <v>744</v>
      </c>
      <c r="E368" t="s">
        <v>745</v>
      </c>
      <c r="F368" t="s">
        <v>41</v>
      </c>
      <c r="G368" t="s">
        <v>698</v>
      </c>
      <c r="H368">
        <v>24</v>
      </c>
      <c r="I368">
        <v>85</v>
      </c>
      <c r="J368">
        <v>250</v>
      </c>
      <c r="K368">
        <v>2100</v>
      </c>
      <c r="L368">
        <v>0</v>
      </c>
      <c r="M368">
        <v>0</v>
      </c>
      <c r="N368">
        <v>0</v>
      </c>
      <c r="O368">
        <v>0</v>
      </c>
      <c r="P368">
        <v>395</v>
      </c>
      <c r="Q368" s="5">
        <f>unitlist3[[#This Row],[health]]/unitlist3[[#This Row],[buildtime]]</f>
        <v>0.18809523809523809</v>
      </c>
      <c r="R368" s="5">
        <f>unitlist3[[#This Row],[dps]]/unitlist3[[#This Row],[metalcost]]</f>
        <v>0</v>
      </c>
      <c r="Z368">
        <v>1</v>
      </c>
      <c r="AA368">
        <v>0</v>
      </c>
      <c r="AB368">
        <v>0</v>
      </c>
      <c r="AF368">
        <v>130</v>
      </c>
      <c r="AG368">
        <v>195</v>
      </c>
      <c r="AH368" t="s">
        <v>41</v>
      </c>
      <c r="AI368" t="s">
        <v>41</v>
      </c>
      <c r="AJ368" t="s">
        <v>41</v>
      </c>
      <c r="AK368">
        <v>1</v>
      </c>
      <c r="AL368" t="s">
        <v>1648</v>
      </c>
      <c r="AM368" t="s">
        <v>41</v>
      </c>
    </row>
    <row r="369" spans="1:39" hidden="1">
      <c r="A369" t="s">
        <v>1196</v>
      </c>
      <c r="B369" t="s">
        <v>806</v>
      </c>
      <c r="C369">
        <v>2</v>
      </c>
      <c r="D369" t="s">
        <v>749</v>
      </c>
      <c r="E369" t="s">
        <v>750</v>
      </c>
      <c r="F369" t="s">
        <v>41</v>
      </c>
      <c r="G369" t="s">
        <v>751</v>
      </c>
      <c r="H369">
        <v>43</v>
      </c>
      <c r="I369">
        <v>840</v>
      </c>
      <c r="J369">
        <v>11000</v>
      </c>
      <c r="K369">
        <v>20400</v>
      </c>
      <c r="L369">
        <v>0</v>
      </c>
      <c r="M369">
        <v>0</v>
      </c>
      <c r="N369">
        <v>0</v>
      </c>
      <c r="O369">
        <v>0</v>
      </c>
      <c r="P369">
        <v>12700</v>
      </c>
      <c r="Q369" s="5">
        <f>unitlist3[[#This Row],[health]]/unitlist3[[#This Row],[buildtime]]</f>
        <v>0.62254901960784315</v>
      </c>
      <c r="R369" s="5">
        <f>unitlist3[[#This Row],[dps]]/unitlist3[[#This Row],[metalcost]]</f>
        <v>0</v>
      </c>
      <c r="S369">
        <v>1</v>
      </c>
      <c r="Z369">
        <v>1</v>
      </c>
      <c r="AA369">
        <v>0</v>
      </c>
      <c r="AB369">
        <v>0</v>
      </c>
      <c r="AF369">
        <v>192</v>
      </c>
      <c r="AG369">
        <v>288</v>
      </c>
      <c r="AH369" t="s">
        <v>41</v>
      </c>
      <c r="AI369" t="s">
        <v>41</v>
      </c>
      <c r="AJ369" t="s">
        <v>41</v>
      </c>
      <c r="AK369">
        <v>1</v>
      </c>
      <c r="AL369" t="s">
        <v>1654</v>
      </c>
      <c r="AM369" t="s">
        <v>41</v>
      </c>
    </row>
    <row r="370" spans="1:39" hidden="1">
      <c r="A370" t="s">
        <v>1197</v>
      </c>
      <c r="B370" t="s">
        <v>806</v>
      </c>
      <c r="C370">
        <v>2</v>
      </c>
      <c r="D370" t="s">
        <v>753</v>
      </c>
      <c r="E370" t="s">
        <v>754</v>
      </c>
      <c r="F370" t="s">
        <v>41</v>
      </c>
      <c r="G370" t="s">
        <v>755</v>
      </c>
      <c r="H370">
        <v>45</v>
      </c>
      <c r="I370">
        <v>760</v>
      </c>
      <c r="J370">
        <v>11000</v>
      </c>
      <c r="K370">
        <v>20500</v>
      </c>
      <c r="L370">
        <v>0</v>
      </c>
      <c r="M370">
        <v>0</v>
      </c>
      <c r="N370">
        <v>0</v>
      </c>
      <c r="O370">
        <v>0</v>
      </c>
      <c r="P370">
        <v>11200</v>
      </c>
      <c r="Q370" s="5">
        <f>unitlist3[[#This Row],[health]]/unitlist3[[#This Row],[buildtime]]</f>
        <v>0.54634146341463419</v>
      </c>
      <c r="R370" s="5">
        <f>unitlist3[[#This Row],[dps]]/unitlist3[[#This Row],[metalcost]]</f>
        <v>0</v>
      </c>
      <c r="S370">
        <v>1</v>
      </c>
      <c r="Z370">
        <v>1</v>
      </c>
      <c r="AA370">
        <v>0</v>
      </c>
      <c r="AB370">
        <v>0</v>
      </c>
      <c r="AF370">
        <v>182</v>
      </c>
      <c r="AG370">
        <v>273</v>
      </c>
      <c r="AH370" t="s">
        <v>41</v>
      </c>
      <c r="AI370" t="s">
        <v>41</v>
      </c>
      <c r="AJ370" t="s">
        <v>41</v>
      </c>
      <c r="AK370">
        <v>1</v>
      </c>
      <c r="AL370" t="s">
        <v>1655</v>
      </c>
      <c r="AM370" t="s">
        <v>41</v>
      </c>
    </row>
    <row r="371" spans="1:39" hidden="1">
      <c r="A371" t="s">
        <v>1198</v>
      </c>
      <c r="B371" t="s">
        <v>806</v>
      </c>
      <c r="C371">
        <v>2</v>
      </c>
      <c r="D371" t="s">
        <v>81</v>
      </c>
      <c r="E371" t="s">
        <v>82</v>
      </c>
      <c r="F371" t="s">
        <v>41</v>
      </c>
      <c r="G371" t="s">
        <v>83</v>
      </c>
      <c r="H371">
        <v>3</v>
      </c>
      <c r="I371">
        <v>1500</v>
      </c>
      <c r="J371">
        <v>27000</v>
      </c>
      <c r="K371">
        <v>32000</v>
      </c>
      <c r="L371">
        <v>0</v>
      </c>
      <c r="M371">
        <v>1250</v>
      </c>
      <c r="N371">
        <v>0</v>
      </c>
      <c r="O371">
        <v>0</v>
      </c>
      <c r="P371">
        <v>4150</v>
      </c>
      <c r="Q371" s="5">
        <f>unitlist3[[#This Row],[health]]/unitlist3[[#This Row],[buildtime]]</f>
        <v>0.12968750000000001</v>
      </c>
      <c r="R371" s="5">
        <f>unitlist3[[#This Row],[dps]]/unitlist3[[#This Row],[metalcost]]</f>
        <v>0</v>
      </c>
      <c r="T371">
        <v>1</v>
      </c>
      <c r="Z371">
        <v>1</v>
      </c>
      <c r="AA371">
        <v>0</v>
      </c>
      <c r="AB371">
        <v>0</v>
      </c>
      <c r="AF371">
        <v>273</v>
      </c>
      <c r="AG371">
        <v>410</v>
      </c>
      <c r="AH371" t="s">
        <v>41</v>
      </c>
      <c r="AI371" t="s">
        <v>41</v>
      </c>
      <c r="AJ371" t="s">
        <v>41</v>
      </c>
      <c r="AK371">
        <v>1</v>
      </c>
      <c r="AL371" t="s">
        <v>1656</v>
      </c>
      <c r="AM371" t="s">
        <v>41</v>
      </c>
    </row>
    <row r="372" spans="1:39" hidden="1">
      <c r="A372" t="s">
        <v>1199</v>
      </c>
      <c r="B372" t="s">
        <v>806</v>
      </c>
      <c r="C372">
        <v>1</v>
      </c>
      <c r="D372" t="s">
        <v>758</v>
      </c>
      <c r="E372" t="s">
        <v>307</v>
      </c>
      <c r="F372" t="s">
        <v>41</v>
      </c>
      <c r="G372" t="s">
        <v>308</v>
      </c>
      <c r="H372">
        <v>31</v>
      </c>
      <c r="I372">
        <v>175</v>
      </c>
      <c r="J372">
        <v>1800</v>
      </c>
      <c r="K372">
        <v>4260</v>
      </c>
      <c r="L372">
        <v>0</v>
      </c>
      <c r="M372">
        <v>0</v>
      </c>
      <c r="N372">
        <v>0</v>
      </c>
      <c r="O372">
        <v>0</v>
      </c>
      <c r="P372">
        <v>2000</v>
      </c>
      <c r="Q372" s="5">
        <f>unitlist3[[#This Row],[health]]/unitlist3[[#This Row],[buildtime]]</f>
        <v>0.46948356807511737</v>
      </c>
      <c r="R372" s="5">
        <f>unitlist3[[#This Row],[dps]]/unitlist3[[#This Row],[metalcost]]</f>
        <v>0</v>
      </c>
      <c r="T372">
        <v>1</v>
      </c>
      <c r="Z372">
        <v>1</v>
      </c>
      <c r="AA372">
        <v>0</v>
      </c>
      <c r="AB372">
        <v>0</v>
      </c>
      <c r="AF372">
        <v>169</v>
      </c>
      <c r="AG372">
        <v>254</v>
      </c>
      <c r="AH372" t="s">
        <v>41</v>
      </c>
      <c r="AI372" t="s">
        <v>41</v>
      </c>
      <c r="AJ372" t="s">
        <v>41</v>
      </c>
      <c r="AK372">
        <v>1</v>
      </c>
      <c r="AL372" t="s">
        <v>1657</v>
      </c>
      <c r="AM372" t="s">
        <v>41</v>
      </c>
    </row>
    <row r="373" spans="1:39" hidden="1">
      <c r="A373" t="s">
        <v>1200</v>
      </c>
      <c r="B373" t="s">
        <v>806</v>
      </c>
      <c r="C373">
        <v>2</v>
      </c>
      <c r="D373" t="s">
        <v>760</v>
      </c>
      <c r="E373" t="s">
        <v>1201</v>
      </c>
      <c r="F373" t="s">
        <v>41</v>
      </c>
      <c r="G373" t="s">
        <v>234</v>
      </c>
      <c r="H373">
        <v>32</v>
      </c>
      <c r="I373">
        <v>5400</v>
      </c>
      <c r="J373">
        <v>34000</v>
      </c>
      <c r="K373">
        <v>105000</v>
      </c>
      <c r="L373">
        <v>0</v>
      </c>
      <c r="M373">
        <v>1220</v>
      </c>
      <c r="N373">
        <v>0</v>
      </c>
      <c r="O373">
        <v>0</v>
      </c>
      <c r="P373">
        <v>5900</v>
      </c>
      <c r="Q373" s="5">
        <f>unitlist3[[#This Row],[health]]/unitlist3[[#This Row],[buildtime]]</f>
        <v>5.6190476190476193E-2</v>
      </c>
      <c r="R373" s="5">
        <f>unitlist3[[#This Row],[dps]]/unitlist3[[#This Row],[metalcost]]</f>
        <v>0</v>
      </c>
      <c r="T373">
        <v>1</v>
      </c>
      <c r="Z373">
        <v>1</v>
      </c>
      <c r="AA373">
        <v>0</v>
      </c>
      <c r="AB373">
        <v>0</v>
      </c>
      <c r="AF373">
        <v>143</v>
      </c>
      <c r="AG373">
        <v>215</v>
      </c>
      <c r="AH373" t="s">
        <v>41</v>
      </c>
      <c r="AI373" t="s">
        <v>41</v>
      </c>
      <c r="AJ373" t="s">
        <v>41</v>
      </c>
      <c r="AK373">
        <v>1</v>
      </c>
      <c r="AL373" t="s">
        <v>1658</v>
      </c>
      <c r="AM373" t="s">
        <v>41</v>
      </c>
    </row>
    <row r="374" spans="1:39" hidden="1">
      <c r="A374" t="s">
        <v>1202</v>
      </c>
      <c r="B374" t="s">
        <v>806</v>
      </c>
      <c r="C374">
        <v>1</v>
      </c>
      <c r="D374" t="s">
        <v>401</v>
      </c>
      <c r="E374" t="s">
        <v>402</v>
      </c>
      <c r="F374" t="s">
        <v>41</v>
      </c>
      <c r="G374" t="s">
        <v>403</v>
      </c>
      <c r="H374">
        <v>48</v>
      </c>
      <c r="I374">
        <v>540</v>
      </c>
      <c r="J374">
        <v>13000</v>
      </c>
      <c r="K374">
        <v>12900</v>
      </c>
      <c r="L374">
        <v>0</v>
      </c>
      <c r="M374">
        <v>300</v>
      </c>
      <c r="N374">
        <v>0</v>
      </c>
      <c r="O374">
        <v>0</v>
      </c>
      <c r="P374">
        <v>2050</v>
      </c>
      <c r="Q374" s="5">
        <f>unitlist3[[#This Row],[health]]/unitlist3[[#This Row],[buildtime]]</f>
        <v>0.15891472868217055</v>
      </c>
      <c r="R374" s="5">
        <f>unitlist3[[#This Row],[dps]]/unitlist3[[#This Row],[metalcost]]</f>
        <v>0</v>
      </c>
      <c r="T374">
        <v>1</v>
      </c>
      <c r="Z374">
        <v>1</v>
      </c>
      <c r="AA374">
        <v>0</v>
      </c>
      <c r="AB374">
        <v>0</v>
      </c>
      <c r="AF374">
        <v>273</v>
      </c>
      <c r="AG374">
        <v>410</v>
      </c>
      <c r="AH374" t="s">
        <v>41</v>
      </c>
      <c r="AI374" t="s">
        <v>41</v>
      </c>
      <c r="AJ374" t="s">
        <v>41</v>
      </c>
      <c r="AK374">
        <v>1</v>
      </c>
      <c r="AL374" t="s">
        <v>1659</v>
      </c>
      <c r="AM374" t="s">
        <v>41</v>
      </c>
    </row>
    <row r="375" spans="1:39" hidden="1">
      <c r="A375" t="s">
        <v>1203</v>
      </c>
      <c r="B375" t="s">
        <v>806</v>
      </c>
      <c r="C375">
        <v>2</v>
      </c>
      <c r="D375" t="s">
        <v>764</v>
      </c>
      <c r="E375" t="s">
        <v>550</v>
      </c>
      <c r="F375" t="s">
        <v>41</v>
      </c>
      <c r="G375" t="s">
        <v>551</v>
      </c>
      <c r="H375">
        <v>28</v>
      </c>
      <c r="I375">
        <v>640</v>
      </c>
      <c r="J375">
        <v>8100</v>
      </c>
      <c r="K375">
        <v>14100</v>
      </c>
      <c r="L375">
        <v>0</v>
      </c>
      <c r="M375">
        <v>0</v>
      </c>
      <c r="N375">
        <v>0</v>
      </c>
      <c r="O375">
        <v>0</v>
      </c>
      <c r="P375">
        <v>3900</v>
      </c>
      <c r="Q375" s="5">
        <f>unitlist3[[#This Row],[health]]/unitlist3[[#This Row],[buildtime]]</f>
        <v>0.27659574468085107</v>
      </c>
      <c r="R375" s="5">
        <f>unitlist3[[#This Row],[dps]]/unitlist3[[#This Row],[metalcost]]</f>
        <v>0</v>
      </c>
      <c r="T375">
        <v>1</v>
      </c>
      <c r="Z375">
        <v>1</v>
      </c>
      <c r="AA375">
        <v>0</v>
      </c>
      <c r="AB375">
        <v>0</v>
      </c>
      <c r="AF375">
        <v>169</v>
      </c>
      <c r="AG375">
        <v>254</v>
      </c>
      <c r="AH375" t="s">
        <v>41</v>
      </c>
      <c r="AI375" t="s">
        <v>41</v>
      </c>
      <c r="AJ375" t="s">
        <v>41</v>
      </c>
      <c r="AK375">
        <v>1</v>
      </c>
      <c r="AL375" t="s">
        <v>1660</v>
      </c>
      <c r="AM375" t="s">
        <v>41</v>
      </c>
    </row>
    <row r="376" spans="1:39" hidden="1">
      <c r="A376" t="s">
        <v>1204</v>
      </c>
      <c r="B376" t="s">
        <v>806</v>
      </c>
      <c r="C376">
        <v>2</v>
      </c>
      <c r="D376" t="s">
        <v>766</v>
      </c>
      <c r="E376" t="s">
        <v>546</v>
      </c>
      <c r="F376" t="s">
        <v>41</v>
      </c>
      <c r="G376" t="s">
        <v>547</v>
      </c>
      <c r="H376">
        <v>32</v>
      </c>
      <c r="I376">
        <v>370</v>
      </c>
      <c r="J376">
        <v>21000</v>
      </c>
      <c r="K376">
        <v>31300</v>
      </c>
      <c r="L376">
        <v>0</v>
      </c>
      <c r="M376">
        <v>0</v>
      </c>
      <c r="N376">
        <v>0</v>
      </c>
      <c r="O376">
        <v>0</v>
      </c>
      <c r="P376">
        <v>560</v>
      </c>
      <c r="Q376" s="5">
        <f>unitlist3[[#This Row],[health]]/unitlist3[[#This Row],[buildtime]]</f>
        <v>1.7891373801916934E-2</v>
      </c>
      <c r="R376" s="5">
        <f>unitlist3[[#This Row],[dps]]/unitlist3[[#This Row],[metalcost]]</f>
        <v>0</v>
      </c>
      <c r="Z376">
        <v>1</v>
      </c>
      <c r="AA376">
        <v>0</v>
      </c>
      <c r="AB376">
        <v>0</v>
      </c>
      <c r="AF376">
        <v>143</v>
      </c>
      <c r="AG376">
        <v>215</v>
      </c>
      <c r="AH376" t="s">
        <v>41</v>
      </c>
      <c r="AI376" t="s">
        <v>41</v>
      </c>
      <c r="AJ376" t="s">
        <v>41</v>
      </c>
      <c r="AK376">
        <v>1</v>
      </c>
      <c r="AL376" t="s">
        <v>1661</v>
      </c>
      <c r="AM376" t="s">
        <v>41</v>
      </c>
    </row>
    <row r="377" spans="1:39" hidden="1">
      <c r="A377" t="s">
        <v>1205</v>
      </c>
      <c r="B377" t="s">
        <v>806</v>
      </c>
      <c r="C377">
        <v>1</v>
      </c>
      <c r="D377" t="s">
        <v>768</v>
      </c>
      <c r="E377" t="s">
        <v>558</v>
      </c>
      <c r="F377" t="s">
        <v>41</v>
      </c>
      <c r="G377" t="s">
        <v>559</v>
      </c>
      <c r="H377">
        <v>32</v>
      </c>
      <c r="I377">
        <v>340</v>
      </c>
      <c r="J377">
        <v>590</v>
      </c>
      <c r="K377">
        <v>2920</v>
      </c>
      <c r="L377">
        <v>0</v>
      </c>
      <c r="M377">
        <v>0</v>
      </c>
      <c r="N377">
        <v>0</v>
      </c>
      <c r="O377">
        <v>0</v>
      </c>
      <c r="P377">
        <v>2100</v>
      </c>
      <c r="Q377" s="5">
        <f>unitlist3[[#This Row],[health]]/unitlist3[[#This Row],[buildtime]]</f>
        <v>0.71917808219178081</v>
      </c>
      <c r="R377" s="5">
        <f>unitlist3[[#This Row],[dps]]/unitlist3[[#This Row],[metalcost]]</f>
        <v>0</v>
      </c>
      <c r="T377">
        <v>1</v>
      </c>
      <c r="Z377">
        <v>1</v>
      </c>
      <c r="AA377">
        <v>0</v>
      </c>
      <c r="AB377">
        <v>0</v>
      </c>
      <c r="AF377">
        <v>169</v>
      </c>
      <c r="AG377">
        <v>254</v>
      </c>
      <c r="AH377" t="s">
        <v>41</v>
      </c>
      <c r="AI377" t="s">
        <v>41</v>
      </c>
      <c r="AJ377" t="s">
        <v>41</v>
      </c>
      <c r="AK377">
        <v>1</v>
      </c>
      <c r="AL377" t="s">
        <v>1662</v>
      </c>
      <c r="AM377" t="s">
        <v>41</v>
      </c>
    </row>
    <row r="378" spans="1:39" hidden="1">
      <c r="A378" t="s">
        <v>1206</v>
      </c>
      <c r="B378" t="s">
        <v>806</v>
      </c>
      <c r="C378">
        <v>1</v>
      </c>
      <c r="D378" t="s">
        <v>1207</v>
      </c>
      <c r="E378" t="s">
        <v>1302</v>
      </c>
      <c r="F378" t="s">
        <v>41</v>
      </c>
      <c r="G378" t="s">
        <v>171</v>
      </c>
      <c r="H378">
        <v>22</v>
      </c>
      <c r="I378">
        <v>74</v>
      </c>
      <c r="J378">
        <v>1450</v>
      </c>
      <c r="K378">
        <v>4120</v>
      </c>
      <c r="L378">
        <v>0</v>
      </c>
      <c r="M378">
        <v>0</v>
      </c>
      <c r="N378">
        <v>0</v>
      </c>
      <c r="O378">
        <v>198</v>
      </c>
      <c r="P378">
        <v>280</v>
      </c>
      <c r="Q378" s="5">
        <f>unitlist3[[#This Row],[health]]/unitlist3[[#This Row],[buildtime]]</f>
        <v>6.7961165048543687E-2</v>
      </c>
      <c r="R378" s="5">
        <f>unitlist3[[#This Row],[dps]]/unitlist3[[#This Row],[metalcost]]</f>
        <v>0</v>
      </c>
      <c r="U378">
        <v>1</v>
      </c>
      <c r="AA378">
        <v>0</v>
      </c>
      <c r="AB378">
        <v>0</v>
      </c>
      <c r="AF378">
        <v>260</v>
      </c>
      <c r="AG378">
        <v>390</v>
      </c>
      <c r="AH378" t="s">
        <v>172</v>
      </c>
      <c r="AI378" t="s">
        <v>41</v>
      </c>
      <c r="AJ378" t="s">
        <v>41</v>
      </c>
      <c r="AK378">
        <v>1</v>
      </c>
      <c r="AL378" t="s">
        <v>1663</v>
      </c>
      <c r="AM378" t="s">
        <v>41</v>
      </c>
    </row>
    <row r="379" spans="1:39">
      <c r="A379" t="s">
        <v>1216</v>
      </c>
      <c r="B379" t="s">
        <v>806</v>
      </c>
      <c r="C379">
        <v>2</v>
      </c>
      <c r="D379" t="s">
        <v>1217</v>
      </c>
      <c r="E379" t="s">
        <v>504</v>
      </c>
      <c r="F379" t="s">
        <v>41</v>
      </c>
      <c r="G379" t="s">
        <v>505</v>
      </c>
      <c r="H379">
        <v>31</v>
      </c>
      <c r="I379">
        <v>99</v>
      </c>
      <c r="J379">
        <v>1350</v>
      </c>
      <c r="K379">
        <v>3950</v>
      </c>
      <c r="L379">
        <v>0</v>
      </c>
      <c r="M379">
        <v>0</v>
      </c>
      <c r="N379">
        <v>0</v>
      </c>
      <c r="O379">
        <v>45</v>
      </c>
      <c r="P379">
        <v>390</v>
      </c>
      <c r="Q379" s="5">
        <f>unitlist3[[#This Row],[health]]/unitlist3[[#This Row],[buildtime]]</f>
        <v>9.8734177215189872E-2</v>
      </c>
      <c r="R379" s="5">
        <f>unitlist3[[#This Row],[dps]]/unitlist3[[#This Row],[metalcost]]</f>
        <v>0</v>
      </c>
      <c r="AA379">
        <v>0</v>
      </c>
      <c r="AB379">
        <v>0</v>
      </c>
      <c r="AE379">
        <v>2200</v>
      </c>
      <c r="AF379">
        <v>925</v>
      </c>
      <c r="AG379">
        <v>1388</v>
      </c>
      <c r="AH379" t="s">
        <v>48</v>
      </c>
      <c r="AI379" t="s">
        <v>41</v>
      </c>
      <c r="AJ379" t="s">
        <v>41</v>
      </c>
      <c r="AK379">
        <v>1</v>
      </c>
      <c r="AL379" t="s">
        <v>1667</v>
      </c>
      <c r="AM379" t="s">
        <v>41</v>
      </c>
    </row>
    <row r="380" spans="1:39" hidden="1">
      <c r="A380" t="s">
        <v>1218</v>
      </c>
      <c r="B380" t="s">
        <v>806</v>
      </c>
      <c r="C380">
        <v>1</v>
      </c>
      <c r="D380" t="s">
        <v>782</v>
      </c>
      <c r="E380" t="s">
        <v>783</v>
      </c>
      <c r="F380" t="s">
        <v>41</v>
      </c>
      <c r="G380" t="s">
        <v>784</v>
      </c>
      <c r="H380">
        <v>38</v>
      </c>
      <c r="I380">
        <v>720</v>
      </c>
      <c r="J380">
        <v>1800</v>
      </c>
      <c r="K380">
        <v>7150</v>
      </c>
      <c r="L380">
        <v>0</v>
      </c>
      <c r="M380">
        <v>0</v>
      </c>
      <c r="N380">
        <v>100</v>
      </c>
      <c r="O380">
        <v>0</v>
      </c>
      <c r="P380">
        <v>3000</v>
      </c>
      <c r="Q380" s="5">
        <f>unitlist3[[#This Row],[health]]/unitlist3[[#This Row],[buildtime]]</f>
        <v>0.41958041958041958</v>
      </c>
      <c r="R380" s="5">
        <f>unitlist3[[#This Row],[dps]]/unitlist3[[#This Row],[metalcost]]</f>
        <v>0</v>
      </c>
      <c r="Z380">
        <v>1</v>
      </c>
      <c r="AA380">
        <v>0</v>
      </c>
      <c r="AB380">
        <v>0</v>
      </c>
      <c r="AF380">
        <v>279</v>
      </c>
      <c r="AG380">
        <v>419</v>
      </c>
      <c r="AH380" t="s">
        <v>41</v>
      </c>
      <c r="AI380" t="s">
        <v>41</v>
      </c>
      <c r="AJ380" t="s">
        <v>1219</v>
      </c>
      <c r="AK380">
        <v>1</v>
      </c>
      <c r="AL380" t="s">
        <v>1668</v>
      </c>
      <c r="AM380" t="s">
        <v>41</v>
      </c>
    </row>
    <row r="381" spans="1:39">
      <c r="A381" t="s">
        <v>1220</v>
      </c>
      <c r="B381" t="s">
        <v>806</v>
      </c>
      <c r="C381">
        <v>2</v>
      </c>
      <c r="D381" t="s">
        <v>1221</v>
      </c>
      <c r="E381" t="s">
        <v>655</v>
      </c>
      <c r="F381" t="s">
        <v>41</v>
      </c>
      <c r="G381" t="s">
        <v>656</v>
      </c>
      <c r="H381">
        <v>30</v>
      </c>
      <c r="I381">
        <v>92</v>
      </c>
      <c r="J381">
        <v>1300</v>
      </c>
      <c r="K381">
        <v>4220</v>
      </c>
      <c r="L381">
        <v>0</v>
      </c>
      <c r="M381">
        <v>0</v>
      </c>
      <c r="N381">
        <v>0</v>
      </c>
      <c r="O381">
        <v>48</v>
      </c>
      <c r="P381">
        <v>570</v>
      </c>
      <c r="Q381" s="5">
        <f>unitlist3[[#This Row],[health]]/unitlist3[[#This Row],[buildtime]]</f>
        <v>0.13507109004739337</v>
      </c>
      <c r="R381" s="5">
        <f>unitlist3[[#This Row],[dps]]/unitlist3[[#This Row],[metalcost]]</f>
        <v>0</v>
      </c>
      <c r="AA381">
        <v>0</v>
      </c>
      <c r="AB381">
        <v>0</v>
      </c>
      <c r="AE381">
        <v>2200</v>
      </c>
      <c r="AF381">
        <v>900</v>
      </c>
      <c r="AG381">
        <v>1350</v>
      </c>
      <c r="AH381" t="s">
        <v>48</v>
      </c>
      <c r="AI381" t="s">
        <v>41</v>
      </c>
      <c r="AJ381" t="s">
        <v>41</v>
      </c>
      <c r="AK381">
        <v>1</v>
      </c>
      <c r="AL381" t="s">
        <v>1669</v>
      </c>
      <c r="AM381" t="s">
        <v>41</v>
      </c>
    </row>
    <row r="382" spans="1:39" hidden="1">
      <c r="A382" t="s">
        <v>1224</v>
      </c>
      <c r="B382" t="s">
        <v>806</v>
      </c>
      <c r="C382">
        <v>1</v>
      </c>
      <c r="D382" t="s">
        <v>794</v>
      </c>
      <c r="E382" t="s">
        <v>795</v>
      </c>
      <c r="F382" t="s">
        <v>41</v>
      </c>
      <c r="G382" t="s">
        <v>796</v>
      </c>
      <c r="H382">
        <v>67</v>
      </c>
      <c r="I382">
        <v>45</v>
      </c>
      <c r="J382">
        <v>175</v>
      </c>
      <c r="K382">
        <v>1680</v>
      </c>
      <c r="L382">
        <v>0</v>
      </c>
      <c r="M382">
        <v>0</v>
      </c>
      <c r="N382">
        <v>0</v>
      </c>
      <c r="O382">
        <v>0</v>
      </c>
      <c r="P382">
        <v>199</v>
      </c>
      <c r="Q382" s="5">
        <f>unitlist3[[#This Row],[health]]/unitlist3[[#This Row],[buildtime]]</f>
        <v>0.11845238095238095</v>
      </c>
      <c r="R382" s="5">
        <f>unitlist3[[#This Row],[dps]]/unitlist3[[#This Row],[metalcost]]</f>
        <v>0</v>
      </c>
      <c r="Z382">
        <v>1</v>
      </c>
      <c r="AA382">
        <v>0</v>
      </c>
      <c r="AB382">
        <v>0</v>
      </c>
      <c r="AF382">
        <v>273</v>
      </c>
      <c r="AG382">
        <v>410</v>
      </c>
      <c r="AH382" t="s">
        <v>41</v>
      </c>
      <c r="AI382" t="s">
        <v>41</v>
      </c>
      <c r="AJ382" t="s">
        <v>41</v>
      </c>
      <c r="AK382">
        <v>1</v>
      </c>
      <c r="AL382" t="s">
        <v>1671</v>
      </c>
      <c r="AM382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9E3FCA-1C5A-4EF2-B92E-7E2C415FF4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Sheet2</vt:lpstr>
      <vt:lpstr>unitlist</vt:lpstr>
      <vt:lpstr>helper</vt:lpstr>
      <vt:lpstr>test</vt:lpstr>
      <vt:lpstr>buildPowerCost</vt:lpstr>
      <vt:lpstr>buildPowerCostPerItem</vt:lpstr>
      <vt:lpstr>buildPowerPerItem</vt:lpstr>
      <vt:lpstr>energyCost</vt:lpstr>
      <vt:lpstr>givenEnergyPerSec</vt:lpstr>
      <vt:lpstr>givenMetal</vt:lpstr>
      <vt:lpstr>givenMetalPerSec</vt:lpstr>
      <vt:lpstr>metalCost</vt:lpstr>
      <vt:lpstr>names</vt:lpstr>
      <vt:lpstr>quantity</vt:lpstr>
      <vt:lpstr>totalBuildPower</vt:lpstr>
      <vt:lpstr>unitlist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Novio</dc:creator>
  <cp:lastModifiedBy>Ace</cp:lastModifiedBy>
  <dcterms:created xsi:type="dcterms:W3CDTF">2024-02-28T15:24:52Z</dcterms:created>
  <dcterms:modified xsi:type="dcterms:W3CDTF">2025-03-04T04:39:28Z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RK_MODE_0292">
    <vt:i4>1</vt:i4>
  </property>
</Properties>
</file>